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① Capability Baseline" sheetId="2" state="visible" r:id="rId4"/>
    <sheet name="② Manual Task Log" sheetId="3" state="visible" r:id="rId5"/>
    <sheet name="③ Incident Time Log" sheetId="4" state="visible" r:id="rId6"/>
    <sheet name="④ Toil Summary" sheetId="5" state="visible" r:id="rId7"/>
    <sheet name="⑤ Future State &amp; Plan" sheetId="6" state="visible" r:id="rId8"/>
    <sheet name="⑥ Roadmap &amp; Timeline" sheetId="7" state="visible" r:id="rId9"/>
  </sheets>
  <definedNames>
    <definedName function="false" hidden="false" name="CapList" vbProcedure="false">'① Capability Baseline'!$C$4:INDEX('① Capability Baseline'!$C$4:$C$400,COUNTA('① Capability Baseline'!$C$4:$C$400))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<sst xmlns="http://schemas.openxmlformats.org/spreadsheetml/2006/main" count="304" uniqueCount="193">
  <si>
    <t xml:space="preserve">SQL Server Discovery  —  Current-State, Toil &amp; Future-State Workbook</t>
  </si>
  <si>
    <t xml:space="preserve">Discovery phase · RBC Cloud · captures manual effort and incident time, ranks it, and drives the future state and roadmap</t>
  </si>
  <si>
    <t xml:space="preserve">How this workbook fits together</t>
  </si>
  <si>
    <t xml:space="preserve">① Capability Baseline</t>
  </si>
  <si>
    <t xml:space="preserve">The master capability list — the 10 groups / 44 capabilities. ADD new capabilities here and every Capability dropdown updates automatically.</t>
  </si>
  <si>
    <t xml:space="preserve">② Manual Task Log</t>
  </si>
  <si>
    <t xml:space="preserve">Every recurring manual task. Pick Group + Capability (driven by ①), type frequency × minutes; hours calculate. THE core input.</t>
  </si>
  <si>
    <t xml:space="preserve">③ Incident Time Log</t>
  </si>
  <si>
    <t xml:space="preserve">Incident effort by category — count, triage + resolve time, after-hours, repeat rate.</t>
  </si>
  <si>
    <t xml:space="preserve">④ Toil Summary</t>
  </si>
  <si>
    <t xml:space="preserve">Auto-rolls up ② and ③ by group and ranks by hours. Nothing to type.</t>
  </si>
  <si>
    <t xml:space="preserve">⑤ Future State &amp; Plan</t>
  </si>
  <si>
    <t xml:space="preserve">Per capability/task: current → target, mechanism, effort, reusable?, phase.</t>
  </si>
  <si>
    <t xml:space="preserve">⑥ Roadmap &amp; Timeline</t>
  </si>
  <si>
    <t xml:space="preserve">The 4 discovery phases with items, owners, dates, outcomes.</t>
  </si>
  <si>
    <t xml:space="preserve">How to fill it in</t>
  </si>
  <si>
    <t xml:space="preserve">Pale yellow = type here.</t>
  </si>
  <si>
    <t xml:space="preserve">Light blue = dropdown driven by the ① Capability Baseline tab (updates as you add capabilities).</t>
  </si>
  <si>
    <t xml:space="preserve">White + border = calculated. Don't overwrite — holds formulas.</t>
  </si>
  <si>
    <t xml:space="preserve">•</t>
  </si>
  <si>
    <t xml:space="preserve">To add a capability: type it on the ① Capability Baseline tab (column C). It appears in the Capability dropdown on ② automatically.</t>
  </si>
  <si>
    <t xml:space="preserve">Capability Group stays a fixed list of 10 — tell the owner if a genuinely new group is needed.</t>
  </si>
  <si>
    <t xml:space="preserve">Estimate, don't stall. A sampled '~20 min, ~8×/mo' beats a blank row; mark rough ones in Confidence.</t>
  </si>
  <si>
    <t xml:space="preserve">One row per DISTINCT task, not per occurrence. Count after-hours / on-call effort.</t>
  </si>
  <si>
    <t xml:space="preserve">'Reusable?' = does the fix survive the move to SQL Always On? Compliance &amp; incident patterns usually do.</t>
  </si>
  <si>
    <t xml:space="preserve">Framework source: RBC Capability Assessment (Discovery Kickoff, 7/27/26) — 44 capabilities / 10 groups mapped to the platform portfolio incl. SQL Server.</t>
  </si>
  <si>
    <t xml:space="preserve">① Capability Baseline — the master list</t>
  </si>
  <si>
    <t xml:space="preserve">One row per capability. Score it as it runs TODAY. This tab feeds the Capability dropdown on the other tabs — add rows here to extend it.</t>
  </si>
  <si>
    <t xml:space="preserve">#</t>
  </si>
  <si>
    <t xml:space="preserve">Capability Group</t>
  </si>
  <si>
    <t xml:space="preserve">Capability</t>
  </si>
  <si>
    <t xml:space="preserve">Current Maturity</t>
  </si>
  <si>
    <t xml:space="preserve">Who Does It Today</t>
  </si>
  <si>
    <t xml:space="preserve">Primary Tooling</t>
  </si>
  <si>
    <t xml:space="preserve">Manual? (notes)</t>
  </si>
  <si>
    <t xml:space="preserve">RAG</t>
  </si>
  <si>
    <t xml:space="preserve">Confidence</t>
  </si>
  <si>
    <t xml:space="preserve">Architecture</t>
  </si>
  <si>
    <t xml:space="preserve">Patterns</t>
  </si>
  <si>
    <t xml:space="preserve">Tiers / Layers</t>
  </si>
  <si>
    <t xml:space="preserve">Standardization</t>
  </si>
  <si>
    <t xml:space="preserve">Resiliency</t>
  </si>
  <si>
    <t xml:space="preserve">DR Strategy</t>
  </si>
  <si>
    <t xml:space="preserve">HA Design</t>
  </si>
  <si>
    <t xml:space="preserve">Failover Design</t>
  </si>
  <si>
    <t xml:space="preserve">Lifecycle</t>
  </si>
  <si>
    <t xml:space="preserve">Provisioning</t>
  </si>
  <si>
    <t xml:space="preserve">Patch Execution</t>
  </si>
  <si>
    <t xml:space="preserve">Scaling</t>
  </si>
  <si>
    <t xml:space="preserve">Decommissioning</t>
  </si>
  <si>
    <t xml:space="preserve">Backup &amp; Restores</t>
  </si>
  <si>
    <t xml:space="preserve">PoCs</t>
  </si>
  <si>
    <t xml:space="preserve">Capacity Planning</t>
  </si>
  <si>
    <t xml:space="preserve">Right Sizing</t>
  </si>
  <si>
    <t xml:space="preserve">Idle Resource Detection</t>
  </si>
  <si>
    <t xml:space="preserve">Forecasting</t>
  </si>
  <si>
    <t xml:space="preserve">Compliance</t>
  </si>
  <si>
    <t xml:space="preserve">ITAM</t>
  </si>
  <si>
    <t xml:space="preserve">Patch Compliance</t>
  </si>
  <si>
    <t xml:space="preserve">Audit Readiness</t>
  </si>
  <si>
    <t xml:space="preserve">ITSM Compliance</t>
  </si>
  <si>
    <t xml:space="preserve">Change Mgmt</t>
  </si>
  <si>
    <t xml:space="preserve">Config Compliance</t>
  </si>
  <si>
    <t xml:space="preserve">Config &amp; Drift Mgmt</t>
  </si>
  <si>
    <t xml:space="preserve">TSS Management</t>
  </si>
  <si>
    <t xml:space="preserve">Vuln Mgmt</t>
  </si>
  <si>
    <t xml:space="preserve">Security</t>
  </si>
  <si>
    <t xml:space="preserve">IAM / PAM</t>
  </si>
  <si>
    <t xml:space="preserve">Encryption Standards</t>
  </si>
  <si>
    <t xml:space="preserve">Encryption (TDE / Imperva)</t>
  </si>
  <si>
    <t xml:space="preserve">Secrets Mgmt</t>
  </si>
  <si>
    <t xml:space="preserve">Observability</t>
  </si>
  <si>
    <t xml:space="preserve">Monitoring</t>
  </si>
  <si>
    <t xml:space="preserve">Logging</t>
  </si>
  <si>
    <t xml:space="preserve">Distributed Tracing</t>
  </si>
  <si>
    <t xml:space="preserve">Alerting</t>
  </si>
  <si>
    <t xml:space="preserve">Finance / Chargeback</t>
  </si>
  <si>
    <t xml:space="preserve">Cost Visibility</t>
  </si>
  <si>
    <t xml:space="preserve">Chargeback / Showback</t>
  </si>
  <si>
    <t xml:space="preserve">Budget Forecasting</t>
  </si>
  <si>
    <t xml:space="preserve">Zephyr Integration</t>
  </si>
  <si>
    <t xml:space="preserve">Service Catalog</t>
  </si>
  <si>
    <t xml:space="preserve">IaC</t>
  </si>
  <si>
    <t xml:space="preserve">Policy Guardrails</t>
  </si>
  <si>
    <t xml:space="preserve">Incident Mgmt (iO)</t>
  </si>
  <si>
    <t xml:space="preserve">Incident Triage</t>
  </si>
  <si>
    <t xml:space="preserve">Resolution</t>
  </si>
  <si>
    <t xml:space="preserve">Escalation</t>
  </si>
  <si>
    <t xml:space="preserve">RCA / Post-mortem</t>
  </si>
  <si>
    <t xml:space="preserve">Support Model</t>
  </si>
  <si>
    <t xml:space="preserve">Support Channel</t>
  </si>
  <si>
    <t xml:space="preserve">To extend the framework, add a Capability Group + Capability on new rows here — the ② dropdown picks it up automatically.</t>
  </si>
  <si>
    <t xml:space="preserve">② Manual Task Log — what the ops team does by hand</t>
  </si>
  <si>
    <t xml:space="preserve">One row per distinct recurring task. Pick Group + Capability (from ①), type frequency × minutes; hours calculate. This is the heart of discovery.</t>
  </si>
  <si>
    <t xml:space="preserve">Task / Activity</t>
  </si>
  <si>
    <t xml:space="preserve">Trigger</t>
  </si>
  <si>
    <t xml:space="preserve">Freq Category</t>
  </si>
  <si>
    <t xml:space="preserve">Times / Month</t>
  </si>
  <si>
    <t xml:space="preserve">Minutes each</t>
  </si>
  <si>
    <t xml:space="preserve">People</t>
  </si>
  <si>
    <t xml:space="preserve">Hours / Month</t>
  </si>
  <si>
    <t xml:space="preserve">Hours / Year</t>
  </si>
  <si>
    <t xml:space="preserve">Toil?</t>
  </si>
  <si>
    <t xml:space="preserve">After-hours?</t>
  </si>
  <si>
    <t xml:space="preserve">Reusable for Always On?</t>
  </si>
  <si>
    <t xml:space="preserve">Notes</t>
  </si>
  <si>
    <t xml:space="preserve">New database provisioning (app request)</t>
  </si>
  <si>
    <t xml:space="preserve">App team service request (ITSM)</t>
  </si>
  <si>
    <t xml:space="preserve">Weekly</t>
  </si>
  <si>
    <t xml:space="preserve">Toil</t>
  </si>
  <si>
    <t xml:space="preserve">No</t>
  </si>
  <si>
    <t xml:space="preserve">Yes</t>
  </si>
  <si>
    <t xml:space="preserve">Medium</t>
  </si>
  <si>
    <t xml:space="preserve">▶ EXAMPLE — overwrite with your data. Create DB, configure options, permissions, handback</t>
  </si>
  <si>
    <t xml:space="preserve">New SQL instance build (VM)</t>
  </si>
  <si>
    <t xml:space="preserve">New environment / capacity request</t>
  </si>
  <si>
    <t xml:space="preserve">Monthly</t>
  </si>
  <si>
    <t xml:space="preserve">Low</t>
  </si>
  <si>
    <t xml:space="preserve">▶ EXAMPLE — overwrite with your data. OS prep, install, config baseline, register in CMDB</t>
  </si>
  <si>
    <t xml:space="preserve">Add database to Always On AG</t>
  </si>
  <si>
    <t xml:space="preserve">New prod DB needs HA</t>
  </si>
  <si>
    <t xml:space="preserve">Partial</t>
  </si>
  <si>
    <t xml:space="preserve">▶ EXAMPLE — overwrite with your data. Seed replica, join AG, validate failover</t>
  </si>
  <si>
    <t xml:space="preserve">Login / role access provisioning</t>
  </si>
  <si>
    <t xml:space="preserve">Access request (ITSM)</t>
  </si>
  <si>
    <t xml:space="preserve">High</t>
  </si>
  <si>
    <t xml:space="preserve">▶ EXAMPLE — overwrite with your data. Create logins, map roles, least-privilege check</t>
  </si>
  <si>
    <t xml:space="preserve">Monthly CU / SU patching cycle</t>
  </si>
  <si>
    <t xml:space="preserve">Monthly patch calendar</t>
  </si>
  <si>
    <t xml:space="preserve">▶ EXAMPLE — overwrite with your data. Plan, outage coord, apply, validate per instance batch</t>
  </si>
  <si>
    <t xml:space="preserve">Dev / test DB refresh (restore)</t>
  </si>
  <si>
    <t xml:space="preserve">Dev team refresh request</t>
  </si>
  <si>
    <t xml:space="preserve">▶ EXAMPLE — overwrite with your data. Restore prod copy to lower env, mask, reconfigure</t>
  </si>
  <si>
    <t xml:space="preserve">Manual storage / file growth</t>
  </si>
  <si>
    <t xml:space="preserve">Space alert / capacity threshold</t>
  </si>
  <si>
    <t xml:space="preserve">▶ EXAMPLE — overwrite with your data. Grow data/log files or add disk, update autogrowth</t>
  </si>
  <si>
    <t xml:space="preserve">TOTAL</t>
  </si>
  <si>
    <t xml:space="preserve">Example — Lifecycle · Provisioning · 'Manual DB provisioning' · 'app request' · Weekly · 6 · 90 · 1 · (auto) · Toil · No · Yes · Medium</t>
  </si>
  <si>
    <t xml:space="preserve">③ Incident Time Log — reactive effort</t>
  </si>
  <si>
    <t xml:space="preserve">One row per incident category. Hours calculate from count × (triage + resolve). Track repeat % — recurring incidents are the automation target.</t>
  </si>
  <si>
    <t xml:space="preserve">Incident Category</t>
  </si>
  <si>
    <t xml:space="preserve">Severity</t>
  </si>
  <si>
    <t xml:space="preserve">Incidents / Month</t>
  </si>
  <si>
    <t xml:space="preserve">Avg Triage (min)</t>
  </si>
  <si>
    <t xml:space="preserve">Avg Resolve (min)</t>
  </si>
  <si>
    <t xml:space="preserve">After-hours %</t>
  </si>
  <si>
    <t xml:space="preserve">Repeat %</t>
  </si>
  <si>
    <t xml:space="preserve">Example — Resiliency · 'Failover / DR event' · Sev2 · 3 · 20 · 120 · 60% · 40% · (auto) · Yes · Medium</t>
  </si>
  <si>
    <t xml:space="preserve">④ Toil Summary — auto-ranked</t>
  </si>
  <si>
    <t xml:space="preserve">Rolls up ② and ③ by capability group and ranks. Nothing to type. This is where the toil actually is.</t>
  </si>
  <si>
    <t xml:space="preserve">Manual Hours / Mo</t>
  </si>
  <si>
    <t xml:space="preserve">Incident Hours / Mo</t>
  </si>
  <si>
    <t xml:space="preserve">Total Hours / Mo</t>
  </si>
  <si>
    <t xml:space="preserve">Total Hours / Yr</t>
  </si>
  <si>
    <t xml:space="preserve">% of Total</t>
  </si>
  <si>
    <t xml:space="preserve">Rank</t>
  </si>
  <si>
    <t xml:space="preserve">Ranked by total monthly hours. Top of the list = where automation buys most; confirm against 'Reusable?' before committing.</t>
  </si>
  <si>
    <t xml:space="preserve">⑤ Future State &amp; Automation Plan</t>
  </si>
  <si>
    <t xml:space="preserve">Turn the top of the toil rank into a plan. Capability driven by ①.</t>
  </si>
  <si>
    <t xml:space="preserve">Current State</t>
  </si>
  <si>
    <t xml:space="preserve">Target State</t>
  </si>
  <si>
    <t xml:space="preserve">How We Automate It</t>
  </si>
  <si>
    <t xml:space="preserve">Reusable?</t>
  </si>
  <si>
    <t xml:space="preserve">Effort</t>
  </si>
  <si>
    <t xml:space="preserve">Target Phase</t>
  </si>
  <si>
    <t xml:space="preserve">Owner</t>
  </si>
  <si>
    <t xml:space="preserve">Status</t>
  </si>
  <si>
    <t xml:space="preserve">Example — Lifecycle · Provisioning · 'manual per request' · 'self-service catalog' · 'SQL Always On golden module' · Yes · M · P3 SQL Pod Kickoff · Pod Lead · Not Started</t>
  </si>
  <si>
    <t xml:space="preserve">The 4 discovery phases from the kickoff. Add owners and dates as they firm up.</t>
  </si>
  <si>
    <t xml:space="preserve">Phase</t>
  </si>
  <si>
    <t xml:space="preserve">Timeline</t>
  </si>
  <si>
    <t xml:space="preserve">Activities</t>
  </si>
  <si>
    <t xml:space="preserve">Start</t>
  </si>
  <si>
    <t xml:space="preserve">Target End</t>
  </si>
  <si>
    <t xml:space="preserve">Key Outcomes</t>
  </si>
  <si>
    <t xml:space="preserve">P1 · Discovery</t>
  </si>
  <si>
    <t xml:space="preserve">Week 1-2</t>
  </si>
  <si>
    <t xml:space="preserve">Manual task, incident &amp; capability capture (this workbook). Include items from Pavel's discovery.</t>
  </si>
  <si>
    <t xml:space="preserve">Not Started</t>
  </si>
  <si>
    <t xml:space="preserve">Full current-state baseline captured</t>
  </si>
  <si>
    <t xml:space="preserve">P2 · Assessment &amp; Design</t>
  </si>
  <si>
    <t xml:space="preserve">Week 2-3</t>
  </si>
  <si>
    <t xml:space="preserve">Define what to Stop / Start / Continue. Design the working model.</t>
  </si>
  <si>
    <t xml:space="preserve">Target operating model agreed</t>
  </si>
  <si>
    <t xml:space="preserve">P3 · SQL Server Pod Kickoff</t>
  </si>
  <si>
    <t xml:space="preserve">Week 3 (parallel)</t>
  </si>
  <si>
    <t xml:space="preserve">Launch the first SQL Server Pod using the working model as a proof point.</t>
  </si>
  <si>
    <t xml:space="preserve">Live pod operating under the model</t>
  </si>
  <si>
    <t xml:space="preserve">P4 · Ongoing Governance</t>
  </si>
  <si>
    <t xml:space="preserve">Week 4+</t>
  </si>
  <si>
    <t xml:space="preserve">Weekly leadership review · track KPIs · iterate on the working model · expand to more pods.</t>
  </si>
  <si>
    <t xml:space="preserve">Continuous improvement; next pod scoped</t>
  </si>
  <si>
    <t xml:space="preserve">Source: Phased Roadmap, RBC Cloud Discovery Kickoff (7/27/26).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</si>
</sst>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C6773"/>
      <name val="Arial"/>
      <family val="0"/>
      <charset val="1"/>
    </font>
    <font>
      <b val="true"/>
      <sz val="12"/>
      <color rgb="FF0B2350"/>
      <name val="Arial"/>
      <family val="0"/>
      <charset val="1"/>
    </font>
    <font>
      <b val="true"/>
      <sz val="10"/>
      <color rgb="FF005DAA"/>
      <name val="Arial"/>
      <family val="0"/>
      <charset val="1"/>
    </font>
    <font>
      <sz val="10"/>
      <color rgb="FF1E252E"/>
      <name val="Arial"/>
      <family val="0"/>
      <charset val="1"/>
    </font>
    <font>
      <b val="true"/>
      <sz val="11"/>
      <color rgb="FF0B2350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i val="true"/>
      <sz val="8.5"/>
      <color rgb="FF5C677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C6773"/>
      <name val="Arial"/>
      <family val="0"/>
      <charset val="1"/>
    </font>
    <font>
      <b val="true"/>
      <sz val="9"/>
      <color rgb="FF0B2350"/>
      <name val="Arial"/>
      <family val="0"/>
      <charset val="1"/>
    </font>
    <font>
      <sz val="9"/>
      <color rgb="FF1E252E"/>
      <name val="Arial"/>
      <family val="0"/>
      <charset val="1"/>
    </font>
    <font>
      <i val="true"/>
      <sz val="8.5"/>
      <color rgb="FF8A6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2350"/>
      <name val="Arial"/>
      <family val="0"/>
      <charset val="1"/>
    </font>
    <font>
      <b val="true"/>
      <sz val="9"/>
      <color rgb="FF005DA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350"/>
        <bgColor rgb="FF1E252E"/>
      </patternFill>
    </fill>
    <fill>
      <patternFill patternType="solid">
        <fgColor rgb="FFF4F7FB"/>
        <bgColor rgb="FFFFFFFF"/>
      </patternFill>
    </fill>
    <fill>
      <patternFill patternType="solid">
        <fgColor rgb="FFFFF7D6"/>
        <bgColor rgb="FFF4F7FB"/>
      </patternFill>
    </fill>
    <fill>
      <patternFill patternType="solid">
        <fgColor rgb="FFE7F0FA"/>
        <bgColor rgb="FFF4F7FB"/>
      </patternFill>
    </fill>
    <fill>
      <patternFill patternType="solid">
        <fgColor rgb="FFFFFFFF"/>
        <bgColor rgb="FFF4F7FB"/>
      </patternFill>
    </fill>
    <fill>
      <patternFill patternType="solid">
        <fgColor rgb="FFFFE9B8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DE5"/>
      </left>
      <right style="thin">
        <color rgb="FFD7DDE5"/>
      </right>
      <top style="thin">
        <color rgb="FFD7DDE5"/>
      </top>
      <bottom style="thin">
        <color rgb="FFD7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FF7D6"/>
      <rgbColor rgb="FFE7F0FA"/>
      <rgbColor rgb="FF660066"/>
      <rgbColor rgb="FFFF8080"/>
      <rgbColor rgb="FF005DAA"/>
      <rgbColor rgb="FFD7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B"/>
      <rgbColor rgb="FFCCFFCC"/>
      <rgbColor rgb="FFFFE9B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C6773"/>
      <rgbColor rgb="FF969696"/>
      <rgbColor rgb="FF0B2350"/>
      <rgbColor rgb="FF339966"/>
      <rgbColor rgb="FF003300"/>
      <rgbColor rgb="FF333300"/>
      <rgbColor rgb="FF993300"/>
      <rgbColor rgb="FF993366"/>
      <rgbColor rgb="FF333399"/>
      <rgbColor rgb="FF1E25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78"/>
    <col collapsed="false" customWidth="true" hidden="false" outlineLevel="0" max="6" min="4" style="1" width="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4" t="s">
        <v>2</v>
      </c>
    </row>
    <row r="5" customFormat="false" ht="23.25" hidden="false" customHeight="true" outlineLevel="0" collapsed="false">
      <c r="B5" s="5" t="s">
        <v>3</v>
      </c>
      <c r="C5" s="6" t="s">
        <v>4</v>
      </c>
    </row>
    <row r="6" customFormat="false" ht="23.25" hidden="false" customHeight="true" outlineLevel="0" collapsed="false">
      <c r="B6" s="5" t="s">
        <v>5</v>
      </c>
      <c r="C6" s="6" t="s">
        <v>6</v>
      </c>
    </row>
    <row r="7" customFormat="false" ht="15" hidden="false" customHeight="true" outlineLevel="0" collapsed="false">
      <c r="B7" s="5" t="s">
        <v>7</v>
      </c>
      <c r="C7" s="6" t="s">
        <v>8</v>
      </c>
    </row>
    <row r="8" customFormat="false" ht="15" hidden="false" customHeight="true" outlineLevel="0" collapsed="false">
      <c r="B8" s="5" t="s">
        <v>9</v>
      </c>
      <c r="C8" s="6" t="s">
        <v>10</v>
      </c>
    </row>
    <row r="9" customFormat="false" ht="15" hidden="false" customHeight="true" outlineLevel="0" collapsed="false">
      <c r="B9" s="5" t="s">
        <v>11</v>
      </c>
      <c r="C9" s="6" t="s">
        <v>12</v>
      </c>
    </row>
    <row r="10" customFormat="false" ht="15" hidden="false" customHeight="true" outlineLevel="0" collapsed="false">
      <c r="B10" s="5" t="s">
        <v>13</v>
      </c>
      <c r="C10" s="6" t="s">
        <v>14</v>
      </c>
    </row>
    <row r="12" customFormat="false" ht="15" hidden="false" customHeight="true" outlineLevel="0" collapsed="false">
      <c r="B12" s="7" t="s">
        <v>15</v>
      </c>
    </row>
    <row r="13" customFormat="false" ht="15" hidden="false" customHeight="true" outlineLevel="0" collapsed="false">
      <c r="B13" s="8"/>
      <c r="C13" s="6" t="s">
        <v>16</v>
      </c>
    </row>
    <row r="14" customFormat="false" ht="15" hidden="false" customHeight="true" outlineLevel="0" collapsed="false">
      <c r="B14" s="9"/>
      <c r="C14" s="6" t="s">
        <v>17</v>
      </c>
    </row>
    <row r="15" customFormat="false" ht="15" hidden="false" customHeight="true" outlineLevel="0" collapsed="false">
      <c r="B15" s="10"/>
      <c r="C15" s="6" t="s">
        <v>18</v>
      </c>
    </row>
    <row r="17" customFormat="false" ht="23.25" hidden="false" customHeight="true" outlineLevel="0" collapsed="false">
      <c r="B17" s="11" t="s">
        <v>19</v>
      </c>
      <c r="C17" s="6" t="s">
        <v>20</v>
      </c>
    </row>
    <row r="18" customFormat="false" ht="15" hidden="false" customHeight="true" outlineLevel="0" collapsed="false">
      <c r="B18" s="11" t="s">
        <v>19</v>
      </c>
      <c r="C18" s="6" t="s">
        <v>21</v>
      </c>
    </row>
    <row r="19" customFormat="false" ht="23.25" hidden="false" customHeight="true" outlineLevel="0" collapsed="false">
      <c r="B19" s="11" t="s">
        <v>19</v>
      </c>
      <c r="C19" s="6" t="s">
        <v>22</v>
      </c>
    </row>
    <row r="20" customFormat="false" ht="15" hidden="false" customHeight="true" outlineLevel="0" collapsed="false">
      <c r="B20" s="11" t="s">
        <v>19</v>
      </c>
      <c r="C20" s="6" t="s">
        <v>23</v>
      </c>
    </row>
    <row r="21" customFormat="false" ht="23.25" hidden="false" customHeight="true" outlineLevel="0" collapsed="false">
      <c r="B21" s="11" t="s">
        <v>19</v>
      </c>
      <c r="C21" s="6" t="s">
        <v>24</v>
      </c>
    </row>
    <row r="23" customFormat="false" ht="18.75" hidden="false" customHeight="true" outlineLevel="0" collapsed="false">
      <c r="B23" s="12" t="s">
        <v>25</v>
      </c>
      <c r="C23" s="12"/>
    </row>
  </sheetData>
  <mergeCells count="3">
    <mergeCell ref="A1:F1"/>
    <mergeCell ref="A2:F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34"/>
    <col collapsed="false" customWidth="true" hidden="false" outlineLevel="0" max="8" min="8" style="1" width="9"/>
    <col collapsed="false" customWidth="true" hidden="false" outlineLevel="0" max="9" min="9" style="1" width="11"/>
  </cols>
  <sheetData>
    <row r="1" customFormat="false" ht="30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27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13" t="s">
        <v>28</v>
      </c>
      <c r="B3" s="13" t="s">
        <v>29</v>
      </c>
      <c r="C3" s="13" t="s">
        <v>30</v>
      </c>
      <c r="D3" s="13" t="s">
        <v>31</v>
      </c>
      <c r="E3" s="13" t="s">
        <v>32</v>
      </c>
      <c r="F3" s="13" t="s">
        <v>33</v>
      </c>
      <c r="G3" s="13" t="s">
        <v>34</v>
      </c>
      <c r="H3" s="13" t="s">
        <v>35</v>
      </c>
      <c r="I3" s="13" t="s">
        <v>36</v>
      </c>
    </row>
    <row r="4" customFormat="false" ht="25.5" hidden="false" customHeight="true" outlineLevel="0" collapsed="false">
      <c r="A4" s="14" t="n">
        <v>1</v>
      </c>
      <c r="B4" s="15" t="s">
        <v>37</v>
      </c>
      <c r="C4" s="16" t="s">
        <v>38</v>
      </c>
      <c r="D4" s="17"/>
      <c r="E4" s="17"/>
      <c r="F4" s="17"/>
      <c r="G4" s="17"/>
      <c r="H4" s="17"/>
      <c r="I4" s="17"/>
    </row>
    <row r="5" customFormat="false" ht="25.5" hidden="false" customHeight="true" outlineLevel="0" collapsed="false">
      <c r="A5" s="14" t="n">
        <v>2</v>
      </c>
      <c r="B5" s="15" t="s">
        <v>37</v>
      </c>
      <c r="C5" s="16" t="s">
        <v>39</v>
      </c>
      <c r="D5" s="17"/>
      <c r="E5" s="17"/>
      <c r="F5" s="17"/>
      <c r="G5" s="17"/>
      <c r="H5" s="17"/>
      <c r="I5" s="17"/>
    </row>
    <row r="6" customFormat="false" ht="25.5" hidden="false" customHeight="true" outlineLevel="0" collapsed="false">
      <c r="A6" s="14" t="n">
        <v>3</v>
      </c>
      <c r="B6" s="15" t="s">
        <v>37</v>
      </c>
      <c r="C6" s="16" t="s">
        <v>40</v>
      </c>
      <c r="D6" s="17"/>
      <c r="E6" s="17"/>
      <c r="F6" s="17"/>
      <c r="G6" s="17"/>
      <c r="H6" s="17"/>
      <c r="I6" s="17"/>
    </row>
    <row r="7" customFormat="false" ht="25.5" hidden="false" customHeight="true" outlineLevel="0" collapsed="false">
      <c r="A7" s="14" t="n">
        <v>4</v>
      </c>
      <c r="B7" s="15" t="s">
        <v>41</v>
      </c>
      <c r="C7" s="16" t="s">
        <v>42</v>
      </c>
      <c r="D7" s="17"/>
      <c r="E7" s="17"/>
      <c r="F7" s="17"/>
      <c r="G7" s="17"/>
      <c r="H7" s="17"/>
      <c r="I7" s="17"/>
    </row>
    <row r="8" customFormat="false" ht="25.5" hidden="false" customHeight="true" outlineLevel="0" collapsed="false">
      <c r="A8" s="14" t="n">
        <v>5</v>
      </c>
      <c r="B8" s="15" t="s">
        <v>41</v>
      </c>
      <c r="C8" s="16" t="s">
        <v>43</v>
      </c>
      <c r="D8" s="17"/>
      <c r="E8" s="17"/>
      <c r="F8" s="17"/>
      <c r="G8" s="17"/>
      <c r="H8" s="17"/>
      <c r="I8" s="17"/>
    </row>
    <row r="9" customFormat="false" ht="25.5" hidden="false" customHeight="true" outlineLevel="0" collapsed="false">
      <c r="A9" s="14" t="n">
        <v>6</v>
      </c>
      <c r="B9" s="15" t="s">
        <v>41</v>
      </c>
      <c r="C9" s="16" t="s">
        <v>44</v>
      </c>
      <c r="D9" s="17"/>
      <c r="E9" s="17"/>
      <c r="F9" s="17"/>
      <c r="G9" s="17"/>
      <c r="H9" s="17"/>
      <c r="I9" s="17"/>
    </row>
    <row r="10" customFormat="false" ht="25.5" hidden="false" customHeight="true" outlineLevel="0" collapsed="false">
      <c r="A10" s="14" t="n">
        <v>7</v>
      </c>
      <c r="B10" s="15" t="s">
        <v>45</v>
      </c>
      <c r="C10" s="16" t="s">
        <v>46</v>
      </c>
      <c r="D10" s="17"/>
      <c r="E10" s="17"/>
      <c r="F10" s="17"/>
      <c r="G10" s="17"/>
      <c r="H10" s="17"/>
      <c r="I10" s="17"/>
    </row>
    <row r="11" customFormat="false" ht="25.5" hidden="false" customHeight="true" outlineLevel="0" collapsed="false">
      <c r="A11" s="14" t="n">
        <v>8</v>
      </c>
      <c r="B11" s="15" t="s">
        <v>45</v>
      </c>
      <c r="C11" s="16" t="s">
        <v>47</v>
      </c>
      <c r="D11" s="17"/>
      <c r="E11" s="17"/>
      <c r="F11" s="17"/>
      <c r="G11" s="17"/>
      <c r="H11" s="17"/>
      <c r="I11" s="17"/>
    </row>
    <row r="12" customFormat="false" ht="25.5" hidden="false" customHeight="true" outlineLevel="0" collapsed="false">
      <c r="A12" s="14" t="n">
        <v>9</v>
      </c>
      <c r="B12" s="15" t="s">
        <v>45</v>
      </c>
      <c r="C12" s="16" t="s">
        <v>48</v>
      </c>
      <c r="D12" s="17"/>
      <c r="E12" s="17"/>
      <c r="F12" s="17"/>
      <c r="G12" s="17"/>
      <c r="H12" s="17"/>
      <c r="I12" s="17"/>
    </row>
    <row r="13" customFormat="false" ht="25.5" hidden="false" customHeight="true" outlineLevel="0" collapsed="false">
      <c r="A13" s="14" t="n">
        <v>10</v>
      </c>
      <c r="B13" s="15" t="s">
        <v>45</v>
      </c>
      <c r="C13" s="16" t="s">
        <v>49</v>
      </c>
      <c r="D13" s="17"/>
      <c r="E13" s="17"/>
      <c r="F13" s="17"/>
      <c r="G13" s="17"/>
      <c r="H13" s="17"/>
      <c r="I13" s="17"/>
    </row>
    <row r="14" customFormat="false" ht="25.5" hidden="false" customHeight="true" outlineLevel="0" collapsed="false">
      <c r="A14" s="14" t="n">
        <v>11</v>
      </c>
      <c r="B14" s="15" t="s">
        <v>45</v>
      </c>
      <c r="C14" s="16" t="s">
        <v>50</v>
      </c>
      <c r="D14" s="17"/>
      <c r="E14" s="17"/>
      <c r="F14" s="17"/>
      <c r="G14" s="17"/>
      <c r="H14" s="17"/>
      <c r="I14" s="17"/>
    </row>
    <row r="15" customFormat="false" ht="25.5" hidden="false" customHeight="true" outlineLevel="0" collapsed="false">
      <c r="A15" s="14" t="n">
        <v>12</v>
      </c>
      <c r="B15" s="15" t="s">
        <v>45</v>
      </c>
      <c r="C15" s="16" t="s">
        <v>51</v>
      </c>
      <c r="D15" s="17"/>
      <c r="E15" s="17"/>
      <c r="F15" s="17"/>
      <c r="G15" s="17"/>
      <c r="H15" s="17"/>
      <c r="I15" s="17"/>
    </row>
    <row r="16" customFormat="false" ht="25.5" hidden="false" customHeight="true" outlineLevel="0" collapsed="false">
      <c r="A16" s="14" t="n">
        <v>13</v>
      </c>
      <c r="B16" s="15" t="s">
        <v>52</v>
      </c>
      <c r="C16" s="16" t="s">
        <v>53</v>
      </c>
      <c r="D16" s="17"/>
      <c r="E16" s="17"/>
      <c r="F16" s="17"/>
      <c r="G16" s="17"/>
      <c r="H16" s="17"/>
      <c r="I16" s="17"/>
    </row>
    <row r="17" customFormat="false" ht="25.5" hidden="false" customHeight="true" outlineLevel="0" collapsed="false">
      <c r="A17" s="14" t="n">
        <v>14</v>
      </c>
      <c r="B17" s="15" t="s">
        <v>52</v>
      </c>
      <c r="C17" s="16" t="s">
        <v>54</v>
      </c>
      <c r="D17" s="17"/>
      <c r="E17" s="17"/>
      <c r="F17" s="17"/>
      <c r="G17" s="17"/>
      <c r="H17" s="17"/>
      <c r="I17" s="17"/>
    </row>
    <row r="18" customFormat="false" ht="25.5" hidden="false" customHeight="true" outlineLevel="0" collapsed="false">
      <c r="A18" s="14" t="n">
        <v>15</v>
      </c>
      <c r="B18" s="15" t="s">
        <v>52</v>
      </c>
      <c r="C18" s="16" t="s">
        <v>55</v>
      </c>
      <c r="D18" s="17"/>
      <c r="E18" s="17"/>
      <c r="F18" s="17"/>
      <c r="G18" s="17"/>
      <c r="H18" s="17"/>
      <c r="I18" s="17"/>
    </row>
    <row r="19" customFormat="false" ht="25.5" hidden="false" customHeight="true" outlineLevel="0" collapsed="false">
      <c r="A19" s="14" t="n">
        <v>16</v>
      </c>
      <c r="B19" s="15" t="s">
        <v>56</v>
      </c>
      <c r="C19" s="16" t="s">
        <v>57</v>
      </c>
      <c r="D19" s="17"/>
      <c r="E19" s="17"/>
      <c r="F19" s="17"/>
      <c r="G19" s="17"/>
      <c r="H19" s="17"/>
      <c r="I19" s="17"/>
    </row>
    <row r="20" customFormat="false" ht="25.5" hidden="false" customHeight="true" outlineLevel="0" collapsed="false">
      <c r="A20" s="14" t="n">
        <v>17</v>
      </c>
      <c r="B20" s="15" t="s">
        <v>56</v>
      </c>
      <c r="C20" s="16" t="s">
        <v>58</v>
      </c>
      <c r="D20" s="17"/>
      <c r="E20" s="17"/>
      <c r="F20" s="17"/>
      <c r="G20" s="17"/>
      <c r="H20" s="17"/>
      <c r="I20" s="17"/>
    </row>
    <row r="21" customFormat="false" ht="25.5" hidden="false" customHeight="true" outlineLevel="0" collapsed="false">
      <c r="A21" s="14" t="n">
        <v>18</v>
      </c>
      <c r="B21" s="15" t="s">
        <v>56</v>
      </c>
      <c r="C21" s="16" t="s">
        <v>59</v>
      </c>
      <c r="D21" s="17"/>
      <c r="E21" s="17"/>
      <c r="F21" s="17"/>
      <c r="G21" s="17"/>
      <c r="H21" s="17"/>
      <c r="I21" s="17"/>
    </row>
    <row r="22" customFormat="false" ht="25.5" hidden="false" customHeight="true" outlineLevel="0" collapsed="false">
      <c r="A22" s="14" t="n">
        <v>19</v>
      </c>
      <c r="B22" s="15" t="s">
        <v>56</v>
      </c>
      <c r="C22" s="16" t="s">
        <v>60</v>
      </c>
      <c r="D22" s="17"/>
      <c r="E22" s="17"/>
      <c r="F22" s="17"/>
      <c r="G22" s="17"/>
      <c r="H22" s="17"/>
      <c r="I22" s="17"/>
    </row>
    <row r="23" customFormat="false" ht="25.5" hidden="false" customHeight="true" outlineLevel="0" collapsed="false">
      <c r="A23" s="14" t="n">
        <v>20</v>
      </c>
      <c r="B23" s="15" t="s">
        <v>56</v>
      </c>
      <c r="C23" s="16" t="s">
        <v>61</v>
      </c>
      <c r="D23" s="17"/>
      <c r="E23" s="17"/>
      <c r="F23" s="17"/>
      <c r="G23" s="17"/>
      <c r="H23" s="17"/>
      <c r="I23" s="17"/>
    </row>
    <row r="24" customFormat="false" ht="25.5" hidden="false" customHeight="true" outlineLevel="0" collapsed="false">
      <c r="A24" s="14" t="n">
        <v>21</v>
      </c>
      <c r="B24" s="15" t="s">
        <v>56</v>
      </c>
      <c r="C24" s="16" t="s">
        <v>62</v>
      </c>
      <c r="D24" s="17"/>
      <c r="E24" s="17"/>
      <c r="F24" s="17"/>
      <c r="G24" s="17"/>
      <c r="H24" s="17"/>
      <c r="I24" s="17"/>
    </row>
    <row r="25" customFormat="false" ht="25.5" hidden="false" customHeight="true" outlineLevel="0" collapsed="false">
      <c r="A25" s="14" t="n">
        <v>22</v>
      </c>
      <c r="B25" s="15" t="s">
        <v>56</v>
      </c>
      <c r="C25" s="16" t="s">
        <v>63</v>
      </c>
      <c r="D25" s="17"/>
      <c r="E25" s="17"/>
      <c r="F25" s="17"/>
      <c r="G25" s="17"/>
      <c r="H25" s="17"/>
      <c r="I25" s="17"/>
    </row>
    <row r="26" customFormat="false" ht="25.5" hidden="false" customHeight="true" outlineLevel="0" collapsed="false">
      <c r="A26" s="14" t="n">
        <v>23</v>
      </c>
      <c r="B26" s="15" t="s">
        <v>56</v>
      </c>
      <c r="C26" s="16" t="s">
        <v>64</v>
      </c>
      <c r="D26" s="17"/>
      <c r="E26" s="17"/>
      <c r="F26" s="17"/>
      <c r="G26" s="17"/>
      <c r="H26" s="17"/>
      <c r="I26" s="17"/>
    </row>
    <row r="27" customFormat="false" ht="25.5" hidden="false" customHeight="true" outlineLevel="0" collapsed="false">
      <c r="A27" s="14" t="n">
        <v>24</v>
      </c>
      <c r="B27" s="15" t="s">
        <v>56</v>
      </c>
      <c r="C27" s="16" t="s">
        <v>65</v>
      </c>
      <c r="D27" s="17"/>
      <c r="E27" s="17"/>
      <c r="F27" s="17"/>
      <c r="G27" s="17"/>
      <c r="H27" s="17"/>
      <c r="I27" s="17"/>
    </row>
    <row r="28" customFormat="false" ht="25.5" hidden="false" customHeight="true" outlineLevel="0" collapsed="false">
      <c r="A28" s="14" t="n">
        <v>25</v>
      </c>
      <c r="B28" s="15" t="s">
        <v>66</v>
      </c>
      <c r="C28" s="16" t="s">
        <v>67</v>
      </c>
      <c r="D28" s="17"/>
      <c r="E28" s="17"/>
      <c r="F28" s="17"/>
      <c r="G28" s="17"/>
      <c r="H28" s="17"/>
      <c r="I28" s="17"/>
    </row>
    <row r="29" customFormat="false" ht="25.5" hidden="false" customHeight="true" outlineLevel="0" collapsed="false">
      <c r="A29" s="14" t="n">
        <v>26</v>
      </c>
      <c r="B29" s="15" t="s">
        <v>66</v>
      </c>
      <c r="C29" s="16" t="s">
        <v>68</v>
      </c>
      <c r="D29" s="17"/>
      <c r="E29" s="17"/>
      <c r="F29" s="17"/>
      <c r="G29" s="17"/>
      <c r="H29" s="17"/>
      <c r="I29" s="17"/>
    </row>
    <row r="30" customFormat="false" ht="25.5" hidden="false" customHeight="true" outlineLevel="0" collapsed="false">
      <c r="A30" s="14" t="n">
        <v>27</v>
      </c>
      <c r="B30" s="15" t="s">
        <v>66</v>
      </c>
      <c r="C30" s="16" t="s">
        <v>69</v>
      </c>
      <c r="D30" s="17"/>
      <c r="E30" s="17"/>
      <c r="F30" s="17"/>
      <c r="G30" s="17"/>
      <c r="H30" s="17"/>
      <c r="I30" s="17"/>
    </row>
    <row r="31" customFormat="false" ht="25.5" hidden="false" customHeight="true" outlineLevel="0" collapsed="false">
      <c r="A31" s="14" t="n">
        <v>28</v>
      </c>
      <c r="B31" s="15" t="s">
        <v>66</v>
      </c>
      <c r="C31" s="16" t="s">
        <v>70</v>
      </c>
      <c r="D31" s="17"/>
      <c r="E31" s="17"/>
      <c r="F31" s="17"/>
      <c r="G31" s="17"/>
      <c r="H31" s="17"/>
      <c r="I31" s="17"/>
    </row>
    <row r="32" customFormat="false" ht="25.5" hidden="false" customHeight="true" outlineLevel="0" collapsed="false">
      <c r="A32" s="14" t="n">
        <v>29</v>
      </c>
      <c r="B32" s="15" t="s">
        <v>71</v>
      </c>
      <c r="C32" s="16" t="s">
        <v>72</v>
      </c>
      <c r="D32" s="17"/>
      <c r="E32" s="17"/>
      <c r="F32" s="17"/>
      <c r="G32" s="17"/>
      <c r="H32" s="17"/>
      <c r="I32" s="17"/>
    </row>
    <row r="33" customFormat="false" ht="25.5" hidden="false" customHeight="true" outlineLevel="0" collapsed="false">
      <c r="A33" s="14" t="n">
        <v>30</v>
      </c>
      <c r="B33" s="15" t="s">
        <v>71</v>
      </c>
      <c r="C33" s="16" t="s">
        <v>73</v>
      </c>
      <c r="D33" s="17"/>
      <c r="E33" s="17"/>
      <c r="F33" s="17"/>
      <c r="G33" s="17"/>
      <c r="H33" s="17"/>
      <c r="I33" s="17"/>
    </row>
    <row r="34" customFormat="false" ht="25.5" hidden="false" customHeight="true" outlineLevel="0" collapsed="false">
      <c r="A34" s="14" t="n">
        <v>31</v>
      </c>
      <c r="B34" s="15" t="s">
        <v>71</v>
      </c>
      <c r="C34" s="16" t="s">
        <v>74</v>
      </c>
      <c r="D34" s="17"/>
      <c r="E34" s="17"/>
      <c r="F34" s="17"/>
      <c r="G34" s="17"/>
      <c r="H34" s="17"/>
      <c r="I34" s="17"/>
    </row>
    <row r="35" customFormat="false" ht="25.5" hidden="false" customHeight="true" outlineLevel="0" collapsed="false">
      <c r="A35" s="14" t="n">
        <v>32</v>
      </c>
      <c r="B35" s="15" t="s">
        <v>71</v>
      </c>
      <c r="C35" s="16" t="s">
        <v>75</v>
      </c>
      <c r="D35" s="17"/>
      <c r="E35" s="17"/>
      <c r="F35" s="17"/>
      <c r="G35" s="17"/>
      <c r="H35" s="17"/>
      <c r="I35" s="17"/>
    </row>
    <row r="36" customFormat="false" ht="25.5" hidden="false" customHeight="true" outlineLevel="0" collapsed="false">
      <c r="A36" s="14" t="n">
        <v>33</v>
      </c>
      <c r="B36" s="15" t="s">
        <v>76</v>
      </c>
      <c r="C36" s="16" t="s">
        <v>77</v>
      </c>
      <c r="D36" s="17"/>
      <c r="E36" s="17"/>
      <c r="F36" s="17"/>
      <c r="G36" s="17"/>
      <c r="H36" s="17"/>
      <c r="I36" s="17"/>
    </row>
    <row r="37" customFormat="false" ht="25.5" hidden="false" customHeight="true" outlineLevel="0" collapsed="false">
      <c r="A37" s="14" t="n">
        <v>34</v>
      </c>
      <c r="B37" s="15" t="s">
        <v>76</v>
      </c>
      <c r="C37" s="16" t="s">
        <v>78</v>
      </c>
      <c r="D37" s="17"/>
      <c r="E37" s="17"/>
      <c r="F37" s="17"/>
      <c r="G37" s="17"/>
      <c r="H37" s="17"/>
      <c r="I37" s="17"/>
    </row>
    <row r="38" customFormat="false" ht="25.5" hidden="false" customHeight="true" outlineLevel="0" collapsed="false">
      <c r="A38" s="14" t="n">
        <v>35</v>
      </c>
      <c r="B38" s="15" t="s">
        <v>76</v>
      </c>
      <c r="C38" s="16" t="s">
        <v>79</v>
      </c>
      <c r="D38" s="17"/>
      <c r="E38" s="17"/>
      <c r="F38" s="17"/>
      <c r="G38" s="17"/>
      <c r="H38" s="17"/>
      <c r="I38" s="17"/>
    </row>
    <row r="39" customFormat="false" ht="25.5" hidden="false" customHeight="true" outlineLevel="0" collapsed="false">
      <c r="A39" s="14" t="n">
        <v>36</v>
      </c>
      <c r="B39" s="15" t="s">
        <v>80</v>
      </c>
      <c r="C39" s="16" t="s">
        <v>81</v>
      </c>
      <c r="D39" s="17"/>
      <c r="E39" s="17"/>
      <c r="F39" s="17"/>
      <c r="G39" s="17"/>
      <c r="H39" s="17"/>
      <c r="I39" s="17"/>
    </row>
    <row r="40" customFormat="false" ht="25.5" hidden="false" customHeight="true" outlineLevel="0" collapsed="false">
      <c r="A40" s="14" t="n">
        <v>37</v>
      </c>
      <c r="B40" s="15" t="s">
        <v>80</v>
      </c>
      <c r="C40" s="16" t="s">
        <v>82</v>
      </c>
      <c r="D40" s="17"/>
      <c r="E40" s="17"/>
      <c r="F40" s="17"/>
      <c r="G40" s="17"/>
      <c r="H40" s="17"/>
      <c r="I40" s="17"/>
    </row>
    <row r="41" customFormat="false" ht="25.5" hidden="false" customHeight="true" outlineLevel="0" collapsed="false">
      <c r="A41" s="14" t="n">
        <v>38</v>
      </c>
      <c r="B41" s="15" t="s">
        <v>80</v>
      </c>
      <c r="C41" s="16" t="s">
        <v>83</v>
      </c>
      <c r="D41" s="17"/>
      <c r="E41" s="17"/>
      <c r="F41" s="17"/>
      <c r="G41" s="17"/>
      <c r="H41" s="17"/>
      <c r="I41" s="17"/>
    </row>
    <row r="42" customFormat="false" ht="25.5" hidden="false" customHeight="true" outlineLevel="0" collapsed="false">
      <c r="A42" s="14" t="n">
        <v>39</v>
      </c>
      <c r="B42" s="15" t="s">
        <v>84</v>
      </c>
      <c r="C42" s="16" t="s">
        <v>85</v>
      </c>
      <c r="D42" s="17"/>
      <c r="E42" s="17"/>
      <c r="F42" s="17"/>
      <c r="G42" s="17"/>
      <c r="H42" s="17"/>
      <c r="I42" s="17"/>
    </row>
    <row r="43" customFormat="false" ht="25.5" hidden="false" customHeight="true" outlineLevel="0" collapsed="false">
      <c r="A43" s="14" t="n">
        <v>40</v>
      </c>
      <c r="B43" s="15" t="s">
        <v>84</v>
      </c>
      <c r="C43" s="16" t="s">
        <v>86</v>
      </c>
      <c r="D43" s="17"/>
      <c r="E43" s="17"/>
      <c r="F43" s="17"/>
      <c r="G43" s="17"/>
      <c r="H43" s="17"/>
      <c r="I43" s="17"/>
    </row>
    <row r="44" customFormat="false" ht="25.5" hidden="false" customHeight="true" outlineLevel="0" collapsed="false">
      <c r="A44" s="14" t="n">
        <v>41</v>
      </c>
      <c r="B44" s="15" t="s">
        <v>84</v>
      </c>
      <c r="C44" s="16" t="s">
        <v>87</v>
      </c>
      <c r="D44" s="17"/>
      <c r="E44" s="17"/>
      <c r="F44" s="17"/>
      <c r="G44" s="17"/>
      <c r="H44" s="17"/>
      <c r="I44" s="17"/>
    </row>
    <row r="45" customFormat="false" ht="25.5" hidden="false" customHeight="true" outlineLevel="0" collapsed="false">
      <c r="A45" s="14" t="n">
        <v>42</v>
      </c>
      <c r="B45" s="15" t="s">
        <v>84</v>
      </c>
      <c r="C45" s="16" t="s">
        <v>88</v>
      </c>
      <c r="D45" s="17"/>
      <c r="E45" s="17"/>
      <c r="F45" s="17"/>
      <c r="G45" s="17"/>
      <c r="H45" s="17"/>
      <c r="I45" s="17"/>
    </row>
    <row r="46" customFormat="false" ht="25.5" hidden="false" customHeight="true" outlineLevel="0" collapsed="false">
      <c r="A46" s="14" t="n">
        <v>43</v>
      </c>
      <c r="B46" s="15" t="s">
        <v>84</v>
      </c>
      <c r="C46" s="16" t="s">
        <v>89</v>
      </c>
      <c r="D46" s="17"/>
      <c r="E46" s="17"/>
      <c r="F46" s="17"/>
      <c r="G46" s="17"/>
      <c r="H46" s="17"/>
      <c r="I46" s="17"/>
    </row>
    <row r="47" customFormat="false" ht="25.5" hidden="false" customHeight="true" outlineLevel="0" collapsed="false">
      <c r="A47" s="14" t="n">
        <v>44</v>
      </c>
      <c r="B47" s="15" t="s">
        <v>84</v>
      </c>
      <c r="C47" s="16" t="s">
        <v>90</v>
      </c>
      <c r="D47" s="17"/>
      <c r="E47" s="17"/>
      <c r="F47" s="17"/>
      <c r="G47" s="17"/>
      <c r="H47" s="17"/>
      <c r="I47" s="17"/>
    </row>
    <row r="49" customFormat="false" ht="15" hidden="false" customHeight="true" outlineLevel="0" collapsed="false">
      <c r="B49" s="12" t="s">
        <v>91</v>
      </c>
      <c r="C49" s="12"/>
      <c r="D49" s="12"/>
      <c r="E49" s="12"/>
      <c r="F49" s="12"/>
      <c r="G49" s="12"/>
    </row>
  </sheetData>
  <mergeCells count="3">
    <mergeCell ref="A1:I1"/>
    <mergeCell ref="A2:I2"/>
    <mergeCell ref="B49:G49"/>
  </mergeCells>
  <dataValidations count="4">
    <dataValidation allowBlank="true" errorStyle="stop" operator="between" showDropDown="false" showErrorMessage="false" showInputMessage="false" sqref="B4:B47" type="list">
      <formula1>"Architecture,Resiliency,Lifecycle,Capacity Planning,Compliance,Security,Observability,Finance / Chargeback,Zephyr Integration,Incident Mgmt (iO)"</formula1>
      <formula2>0</formula2>
    </dataValidation>
    <dataValidation allowBlank="true" errorStyle="stop" operator="between" showDropDown="false" showErrorMessage="false" showInputMessage="false" sqref="D4:D47" type="list">
      <formula1>"Manual,Assisted,Automated,N/A"</formula1>
      <formula2>0</formula2>
    </dataValidation>
    <dataValidation allowBlank="true" errorStyle="stop" operator="between" showDropDown="false" showErrorMessage="false" showInputMessage="false" sqref="H4:H47" type="list">
      <formula1>"Red,Amber,Green"</formula1>
      <formula2>0</formula2>
    </dataValidation>
    <dataValidation allowBlank="true" errorStyle="stop" operator="between" showDropDown="false" showErrorMessage="false" showInputMessage="false" sqref="I4:I4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7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4" min="14" style="1" width="18"/>
    <col collapsed="false" customWidth="true" hidden="false" outlineLevel="0" max="15" min="15" style="1" width="10"/>
    <col collapsed="false" customWidth="true" hidden="false" outlineLevel="0" max="16" min="16" style="1" width="24"/>
  </cols>
  <sheetData>
    <row r="1" customFormat="false" ht="30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0" hidden="false" customHeight="true" outlineLevel="0" collapsed="false">
      <c r="A3" s="13" t="s">
        <v>28</v>
      </c>
      <c r="B3" s="13" t="s">
        <v>29</v>
      </c>
      <c r="C3" s="13" t="s">
        <v>30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99</v>
      </c>
      <c r="J3" s="13" t="s">
        <v>100</v>
      </c>
      <c r="K3" s="13" t="s">
        <v>101</v>
      </c>
      <c r="L3" s="13" t="s">
        <v>102</v>
      </c>
      <c r="M3" s="13" t="s">
        <v>103</v>
      </c>
      <c r="N3" s="13" t="s">
        <v>104</v>
      </c>
      <c r="O3" s="13" t="s">
        <v>36</v>
      </c>
      <c r="P3" s="13" t="s">
        <v>105</v>
      </c>
    </row>
    <row r="4" customFormat="false" ht="24" hidden="false" customHeight="true" outlineLevel="0" collapsed="false">
      <c r="A4" s="18" t="n">
        <v>1</v>
      </c>
      <c r="B4" s="19" t="s">
        <v>45</v>
      </c>
      <c r="C4" s="20" t="s">
        <v>46</v>
      </c>
      <c r="D4" s="17" t="s">
        <v>106</v>
      </c>
      <c r="E4" s="17" t="s">
        <v>107</v>
      </c>
      <c r="F4" s="19" t="s">
        <v>108</v>
      </c>
      <c r="G4" s="17" t="n">
        <v>8</v>
      </c>
      <c r="H4" s="17" t="n">
        <v>75</v>
      </c>
      <c r="I4" s="17" t="n">
        <v>1</v>
      </c>
      <c r="J4" s="21" t="n">
        <f aca="false">IF(AND(ISNUMBER(G4),ISNUMBER(H4)),G4*H4/60,"")</f>
        <v>10</v>
      </c>
      <c r="K4" s="21" t="n">
        <f aca="false">IF(ISNUMBER(J4),J4*12,"")</f>
        <v>120</v>
      </c>
      <c r="L4" s="19" t="s">
        <v>109</v>
      </c>
      <c r="M4" s="19" t="s">
        <v>110</v>
      </c>
      <c r="N4" s="19" t="s">
        <v>111</v>
      </c>
      <c r="O4" s="19" t="s">
        <v>112</v>
      </c>
      <c r="P4" s="22" t="s">
        <v>113</v>
      </c>
    </row>
    <row r="5" customFormat="false" ht="24" hidden="false" customHeight="true" outlineLevel="0" collapsed="false">
      <c r="A5" s="18" t="n">
        <v>2</v>
      </c>
      <c r="B5" s="19" t="s">
        <v>45</v>
      </c>
      <c r="C5" s="20" t="s">
        <v>46</v>
      </c>
      <c r="D5" s="17" t="s">
        <v>114</v>
      </c>
      <c r="E5" s="17" t="s">
        <v>115</v>
      </c>
      <c r="F5" s="19" t="s">
        <v>116</v>
      </c>
      <c r="G5" s="17" t="n">
        <v>2</v>
      </c>
      <c r="H5" s="17" t="n">
        <v>240</v>
      </c>
      <c r="I5" s="17" t="n">
        <v>2</v>
      </c>
      <c r="J5" s="21" t="n">
        <f aca="false">IF(AND(ISNUMBER(G5),ISNUMBER(H5)),G5*H5/60,"")</f>
        <v>8</v>
      </c>
      <c r="K5" s="21" t="n">
        <f aca="false">IF(ISNUMBER(J5),J5*12,"")</f>
        <v>96</v>
      </c>
      <c r="L5" s="19" t="s">
        <v>109</v>
      </c>
      <c r="M5" s="19" t="s">
        <v>110</v>
      </c>
      <c r="N5" s="19" t="s">
        <v>111</v>
      </c>
      <c r="O5" s="19" t="s">
        <v>117</v>
      </c>
      <c r="P5" s="22" t="s">
        <v>118</v>
      </c>
    </row>
    <row r="6" customFormat="false" ht="24" hidden="false" customHeight="true" outlineLevel="0" collapsed="false">
      <c r="A6" s="18" t="n">
        <v>3</v>
      </c>
      <c r="B6" s="19" t="s">
        <v>45</v>
      </c>
      <c r="C6" s="20" t="s">
        <v>46</v>
      </c>
      <c r="D6" s="17" t="s">
        <v>119</v>
      </c>
      <c r="E6" s="17" t="s">
        <v>120</v>
      </c>
      <c r="F6" s="19" t="s">
        <v>116</v>
      </c>
      <c r="G6" s="17" t="n">
        <v>4</v>
      </c>
      <c r="H6" s="17" t="n">
        <v>120</v>
      </c>
      <c r="I6" s="17" t="n">
        <v>1</v>
      </c>
      <c r="J6" s="21" t="n">
        <f aca="false">IF(AND(ISNUMBER(G6),ISNUMBER(H6)),G6*H6/60,"")</f>
        <v>8</v>
      </c>
      <c r="K6" s="21" t="n">
        <f aca="false">IF(ISNUMBER(J6),J6*12,"")</f>
        <v>96</v>
      </c>
      <c r="L6" s="19" t="s">
        <v>109</v>
      </c>
      <c r="M6" s="19" t="s">
        <v>121</v>
      </c>
      <c r="N6" s="19" t="s">
        <v>111</v>
      </c>
      <c r="O6" s="19" t="s">
        <v>112</v>
      </c>
      <c r="P6" s="22" t="s">
        <v>122</v>
      </c>
    </row>
    <row r="7" customFormat="false" ht="24" hidden="false" customHeight="true" outlineLevel="0" collapsed="false">
      <c r="A7" s="18" t="n">
        <v>4</v>
      </c>
      <c r="B7" s="19" t="s">
        <v>45</v>
      </c>
      <c r="C7" s="20" t="s">
        <v>46</v>
      </c>
      <c r="D7" s="17" t="s">
        <v>123</v>
      </c>
      <c r="E7" s="17" t="s">
        <v>124</v>
      </c>
      <c r="F7" s="19" t="s">
        <v>108</v>
      </c>
      <c r="G7" s="17" t="n">
        <v>20</v>
      </c>
      <c r="H7" s="17" t="n">
        <v>15</v>
      </c>
      <c r="I7" s="17" t="n">
        <v>1</v>
      </c>
      <c r="J7" s="21" t="n">
        <f aca="false">IF(AND(ISNUMBER(G7),ISNUMBER(H7)),G7*H7/60,"")</f>
        <v>5</v>
      </c>
      <c r="K7" s="21" t="n">
        <f aca="false">IF(ISNUMBER(J7),J7*12,"")</f>
        <v>60</v>
      </c>
      <c r="L7" s="19" t="s">
        <v>109</v>
      </c>
      <c r="M7" s="19" t="s">
        <v>110</v>
      </c>
      <c r="N7" s="19" t="s">
        <v>111</v>
      </c>
      <c r="O7" s="19" t="s">
        <v>125</v>
      </c>
      <c r="P7" s="22" t="s">
        <v>126</v>
      </c>
    </row>
    <row r="8" customFormat="false" ht="24" hidden="false" customHeight="true" outlineLevel="0" collapsed="false">
      <c r="A8" s="18" t="n">
        <v>5</v>
      </c>
      <c r="B8" s="19" t="s">
        <v>45</v>
      </c>
      <c r="C8" s="20" t="s">
        <v>47</v>
      </c>
      <c r="D8" s="17" t="s">
        <v>127</v>
      </c>
      <c r="E8" s="17" t="s">
        <v>128</v>
      </c>
      <c r="F8" s="19" t="s">
        <v>116</v>
      </c>
      <c r="G8" s="17" t="n">
        <v>4</v>
      </c>
      <c r="H8" s="17" t="n">
        <v>180</v>
      </c>
      <c r="I8" s="17" t="n">
        <v>2</v>
      </c>
      <c r="J8" s="21" t="n">
        <f aca="false">IF(AND(ISNUMBER(G8),ISNUMBER(H8)),G8*H8/60,"")</f>
        <v>12</v>
      </c>
      <c r="K8" s="21" t="n">
        <f aca="false">IF(ISNUMBER(J8),J8*12,"")</f>
        <v>144</v>
      </c>
      <c r="L8" s="19" t="s">
        <v>109</v>
      </c>
      <c r="M8" s="19" t="s">
        <v>111</v>
      </c>
      <c r="N8" s="19" t="s">
        <v>111</v>
      </c>
      <c r="O8" s="19" t="s">
        <v>112</v>
      </c>
      <c r="P8" s="22" t="s">
        <v>129</v>
      </c>
    </row>
    <row r="9" customFormat="false" ht="24" hidden="false" customHeight="true" outlineLevel="0" collapsed="false">
      <c r="A9" s="18" t="n">
        <v>6</v>
      </c>
      <c r="B9" s="19" t="s">
        <v>45</v>
      </c>
      <c r="C9" s="20" t="s">
        <v>50</v>
      </c>
      <c r="D9" s="17" t="s">
        <v>130</v>
      </c>
      <c r="E9" s="17" t="s">
        <v>131</v>
      </c>
      <c r="F9" s="19" t="s">
        <v>108</v>
      </c>
      <c r="G9" s="17" t="n">
        <v>6</v>
      </c>
      <c r="H9" s="17" t="n">
        <v>60</v>
      </c>
      <c r="I9" s="17" t="n">
        <v>1</v>
      </c>
      <c r="J9" s="21" t="n">
        <f aca="false">IF(AND(ISNUMBER(G9),ISNUMBER(H9)),G9*H9/60,"")</f>
        <v>6</v>
      </c>
      <c r="K9" s="21" t="n">
        <f aca="false">IF(ISNUMBER(J9),J9*12,"")</f>
        <v>72</v>
      </c>
      <c r="L9" s="19" t="s">
        <v>109</v>
      </c>
      <c r="M9" s="19" t="s">
        <v>110</v>
      </c>
      <c r="N9" s="19" t="s">
        <v>121</v>
      </c>
      <c r="O9" s="19" t="s">
        <v>112</v>
      </c>
      <c r="P9" s="22" t="s">
        <v>132</v>
      </c>
    </row>
    <row r="10" customFormat="false" ht="24" hidden="false" customHeight="true" outlineLevel="0" collapsed="false">
      <c r="A10" s="18" t="n">
        <v>7</v>
      </c>
      <c r="B10" s="19" t="s">
        <v>45</v>
      </c>
      <c r="C10" s="20" t="s">
        <v>48</v>
      </c>
      <c r="D10" s="17" t="s">
        <v>133</v>
      </c>
      <c r="E10" s="17" t="s">
        <v>134</v>
      </c>
      <c r="F10" s="19" t="s">
        <v>108</v>
      </c>
      <c r="G10" s="17" t="n">
        <v>5</v>
      </c>
      <c r="H10" s="17" t="n">
        <v>25</v>
      </c>
      <c r="I10" s="17" t="n">
        <v>1</v>
      </c>
      <c r="J10" s="21" t="n">
        <f aca="false">IF(AND(ISNUMBER(G10),ISNUMBER(H10)),G10*H10/60,"")</f>
        <v>2.08333333333333</v>
      </c>
      <c r="K10" s="21" t="n">
        <f aca="false">IF(ISNUMBER(J10),J10*12,"")</f>
        <v>25</v>
      </c>
      <c r="L10" s="19" t="s">
        <v>109</v>
      </c>
      <c r="M10" s="19" t="s">
        <v>110</v>
      </c>
      <c r="N10" s="19" t="s">
        <v>111</v>
      </c>
      <c r="O10" s="19" t="s">
        <v>112</v>
      </c>
      <c r="P10" s="22" t="s">
        <v>135</v>
      </c>
    </row>
    <row r="11" customFormat="false" ht="24" hidden="false" customHeight="true" outlineLevel="0" collapsed="false">
      <c r="A11" s="14" t="n">
        <v>8</v>
      </c>
      <c r="B11" s="19"/>
      <c r="C11" s="20"/>
      <c r="D11" s="17"/>
      <c r="E11" s="17"/>
      <c r="F11" s="19"/>
      <c r="G11" s="17"/>
      <c r="H11" s="17"/>
      <c r="I11" s="17"/>
      <c r="J11" s="21" t="str">
        <f aca="false">IF(AND(ISNUMBER(G11),ISNUMBER(H11)),G11*H11/60,"")</f>
        <v/>
      </c>
      <c r="K11" s="21" t="str">
        <f aca="false">IF(ISNUMBER(J11),J11*12,"")</f>
        <v/>
      </c>
      <c r="L11" s="19"/>
      <c r="M11" s="19"/>
      <c r="N11" s="19"/>
      <c r="O11" s="19"/>
      <c r="P11" s="17"/>
    </row>
    <row r="12" customFormat="false" ht="24" hidden="false" customHeight="true" outlineLevel="0" collapsed="false">
      <c r="A12" s="14" t="n">
        <v>9</v>
      </c>
      <c r="B12" s="19"/>
      <c r="C12" s="20"/>
      <c r="D12" s="17"/>
      <c r="E12" s="17"/>
      <c r="F12" s="19"/>
      <c r="G12" s="17"/>
      <c r="H12" s="17"/>
      <c r="I12" s="17"/>
      <c r="J12" s="21" t="str">
        <f aca="false">IF(AND(ISNUMBER(G12),ISNUMBER(H12)),G12*H12/60,"")</f>
        <v/>
      </c>
      <c r="K12" s="21" t="str">
        <f aca="false">IF(ISNUMBER(J12),J12*12,"")</f>
        <v/>
      </c>
      <c r="L12" s="19"/>
      <c r="M12" s="19"/>
      <c r="N12" s="19"/>
      <c r="O12" s="19"/>
      <c r="P12" s="17"/>
    </row>
    <row r="13" customFormat="false" ht="24" hidden="false" customHeight="true" outlineLevel="0" collapsed="false">
      <c r="A13" s="14" t="n">
        <v>10</v>
      </c>
      <c r="B13" s="19"/>
      <c r="C13" s="20"/>
      <c r="D13" s="17"/>
      <c r="E13" s="17"/>
      <c r="F13" s="19"/>
      <c r="G13" s="17"/>
      <c r="H13" s="17"/>
      <c r="I13" s="17"/>
      <c r="J13" s="21" t="str">
        <f aca="false">IF(AND(ISNUMBER(G13),ISNUMBER(H13)),G13*H13/60,"")</f>
        <v/>
      </c>
      <c r="K13" s="21" t="str">
        <f aca="false">IF(ISNUMBER(J13),J13*12,"")</f>
        <v/>
      </c>
      <c r="L13" s="19"/>
      <c r="M13" s="19"/>
      <c r="N13" s="19"/>
      <c r="O13" s="19"/>
      <c r="P13" s="17"/>
    </row>
    <row r="14" customFormat="false" ht="24" hidden="false" customHeight="true" outlineLevel="0" collapsed="false">
      <c r="A14" s="14" t="n">
        <v>11</v>
      </c>
      <c r="B14" s="19"/>
      <c r="C14" s="20"/>
      <c r="D14" s="17"/>
      <c r="E14" s="17"/>
      <c r="F14" s="19"/>
      <c r="G14" s="17"/>
      <c r="H14" s="17"/>
      <c r="I14" s="17"/>
      <c r="J14" s="21" t="str">
        <f aca="false">IF(AND(ISNUMBER(G14),ISNUMBER(H14)),G14*H14/60,"")</f>
        <v/>
      </c>
      <c r="K14" s="21" t="str">
        <f aca="false">IF(ISNUMBER(J14),J14*12,"")</f>
        <v/>
      </c>
      <c r="L14" s="19"/>
      <c r="M14" s="19"/>
      <c r="N14" s="19"/>
      <c r="O14" s="19"/>
      <c r="P14" s="17"/>
    </row>
    <row r="15" customFormat="false" ht="24" hidden="false" customHeight="true" outlineLevel="0" collapsed="false">
      <c r="A15" s="14" t="n">
        <v>12</v>
      </c>
      <c r="B15" s="19"/>
      <c r="C15" s="20"/>
      <c r="D15" s="17"/>
      <c r="E15" s="17"/>
      <c r="F15" s="19"/>
      <c r="G15" s="17"/>
      <c r="H15" s="17"/>
      <c r="I15" s="17"/>
      <c r="J15" s="21" t="str">
        <f aca="false">IF(AND(ISNUMBER(G15),ISNUMBER(H15)),G15*H15/60,"")</f>
        <v/>
      </c>
      <c r="K15" s="21" t="str">
        <f aca="false">IF(ISNUMBER(J15),J15*12,"")</f>
        <v/>
      </c>
      <c r="L15" s="19"/>
      <c r="M15" s="19"/>
      <c r="N15" s="19"/>
      <c r="O15" s="19"/>
      <c r="P15" s="17"/>
    </row>
    <row r="16" customFormat="false" ht="24" hidden="false" customHeight="true" outlineLevel="0" collapsed="false">
      <c r="A16" s="14" t="n">
        <v>13</v>
      </c>
      <c r="B16" s="19"/>
      <c r="C16" s="20"/>
      <c r="D16" s="17"/>
      <c r="E16" s="17"/>
      <c r="F16" s="19"/>
      <c r="G16" s="17"/>
      <c r="H16" s="17"/>
      <c r="I16" s="17"/>
      <c r="J16" s="21" t="str">
        <f aca="false">IF(AND(ISNUMBER(G16),ISNUMBER(H16)),G16*H16/60,"")</f>
        <v/>
      </c>
      <c r="K16" s="21" t="str">
        <f aca="false">IF(ISNUMBER(J16),J16*12,"")</f>
        <v/>
      </c>
      <c r="L16" s="19"/>
      <c r="M16" s="19"/>
      <c r="N16" s="19"/>
      <c r="O16" s="19"/>
      <c r="P16" s="17"/>
    </row>
    <row r="17" customFormat="false" ht="24" hidden="false" customHeight="true" outlineLevel="0" collapsed="false">
      <c r="A17" s="14" t="n">
        <v>14</v>
      </c>
      <c r="B17" s="19"/>
      <c r="C17" s="20"/>
      <c r="D17" s="17"/>
      <c r="E17" s="17"/>
      <c r="F17" s="19"/>
      <c r="G17" s="17"/>
      <c r="H17" s="17"/>
      <c r="I17" s="17"/>
      <c r="J17" s="21" t="str">
        <f aca="false">IF(AND(ISNUMBER(G17),ISNUMBER(H17)),G17*H17/60,"")</f>
        <v/>
      </c>
      <c r="K17" s="21" t="str">
        <f aca="false">IF(ISNUMBER(J17),J17*12,"")</f>
        <v/>
      </c>
      <c r="L17" s="19"/>
      <c r="M17" s="19"/>
      <c r="N17" s="19"/>
      <c r="O17" s="19"/>
      <c r="P17" s="17"/>
    </row>
    <row r="18" customFormat="false" ht="24" hidden="false" customHeight="true" outlineLevel="0" collapsed="false">
      <c r="A18" s="14" t="n">
        <v>15</v>
      </c>
      <c r="B18" s="19"/>
      <c r="C18" s="20"/>
      <c r="D18" s="17"/>
      <c r="E18" s="17"/>
      <c r="F18" s="19"/>
      <c r="G18" s="17"/>
      <c r="H18" s="17"/>
      <c r="I18" s="17"/>
      <c r="J18" s="21" t="str">
        <f aca="false">IF(AND(ISNUMBER(G18),ISNUMBER(H18)),G18*H18/60,"")</f>
        <v/>
      </c>
      <c r="K18" s="21" t="str">
        <f aca="false">IF(ISNUMBER(J18),J18*12,"")</f>
        <v/>
      </c>
      <c r="L18" s="19"/>
      <c r="M18" s="19"/>
      <c r="N18" s="19"/>
      <c r="O18" s="19"/>
      <c r="P18" s="17"/>
    </row>
    <row r="19" customFormat="false" ht="24" hidden="false" customHeight="true" outlineLevel="0" collapsed="false">
      <c r="A19" s="14" t="n">
        <v>16</v>
      </c>
      <c r="B19" s="19"/>
      <c r="C19" s="20"/>
      <c r="D19" s="17"/>
      <c r="E19" s="17"/>
      <c r="F19" s="19"/>
      <c r="G19" s="17"/>
      <c r="H19" s="17"/>
      <c r="I19" s="17"/>
      <c r="J19" s="21" t="str">
        <f aca="false">IF(AND(ISNUMBER(G19),ISNUMBER(H19)),G19*H19/60,"")</f>
        <v/>
      </c>
      <c r="K19" s="21" t="str">
        <f aca="false">IF(ISNUMBER(J19),J19*12,"")</f>
        <v/>
      </c>
      <c r="L19" s="19"/>
      <c r="M19" s="19"/>
      <c r="N19" s="19"/>
      <c r="O19" s="19"/>
      <c r="P19" s="17"/>
    </row>
    <row r="20" customFormat="false" ht="24" hidden="false" customHeight="true" outlineLevel="0" collapsed="false">
      <c r="A20" s="14" t="n">
        <v>17</v>
      </c>
      <c r="B20" s="19"/>
      <c r="C20" s="20"/>
      <c r="D20" s="17"/>
      <c r="E20" s="17"/>
      <c r="F20" s="19"/>
      <c r="G20" s="17"/>
      <c r="H20" s="17"/>
      <c r="I20" s="17"/>
      <c r="J20" s="21" t="str">
        <f aca="false">IF(AND(ISNUMBER(G20),ISNUMBER(H20)),G20*H20/60,"")</f>
        <v/>
      </c>
      <c r="K20" s="21" t="str">
        <f aca="false">IF(ISNUMBER(J20),J20*12,"")</f>
        <v/>
      </c>
      <c r="L20" s="19"/>
      <c r="M20" s="19"/>
      <c r="N20" s="19"/>
      <c r="O20" s="19"/>
      <c r="P20" s="17"/>
    </row>
    <row r="21" customFormat="false" ht="24" hidden="false" customHeight="true" outlineLevel="0" collapsed="false">
      <c r="A21" s="14" t="n">
        <v>18</v>
      </c>
      <c r="B21" s="19"/>
      <c r="C21" s="20"/>
      <c r="D21" s="17"/>
      <c r="E21" s="17"/>
      <c r="F21" s="19"/>
      <c r="G21" s="17"/>
      <c r="H21" s="17"/>
      <c r="I21" s="17"/>
      <c r="J21" s="21" t="str">
        <f aca="false">IF(AND(ISNUMBER(G21),ISNUMBER(H21)),G21*H21/60,"")</f>
        <v/>
      </c>
      <c r="K21" s="21" t="str">
        <f aca="false">IF(ISNUMBER(J21),J21*12,"")</f>
        <v/>
      </c>
      <c r="L21" s="19"/>
      <c r="M21" s="19"/>
      <c r="N21" s="19"/>
      <c r="O21" s="19"/>
      <c r="P21" s="17"/>
    </row>
    <row r="22" customFormat="false" ht="24" hidden="false" customHeight="true" outlineLevel="0" collapsed="false">
      <c r="A22" s="14" t="n">
        <v>19</v>
      </c>
      <c r="B22" s="19"/>
      <c r="C22" s="20"/>
      <c r="D22" s="17"/>
      <c r="E22" s="17"/>
      <c r="F22" s="19"/>
      <c r="G22" s="17"/>
      <c r="H22" s="17"/>
      <c r="I22" s="17"/>
      <c r="J22" s="21" t="str">
        <f aca="false">IF(AND(ISNUMBER(G22),ISNUMBER(H22)),G22*H22/60,"")</f>
        <v/>
      </c>
      <c r="K22" s="21" t="str">
        <f aca="false">IF(ISNUMBER(J22),J22*12,"")</f>
        <v/>
      </c>
      <c r="L22" s="19"/>
      <c r="M22" s="19"/>
      <c r="N22" s="19"/>
      <c r="O22" s="19"/>
      <c r="P22" s="17"/>
    </row>
    <row r="23" customFormat="false" ht="24" hidden="false" customHeight="true" outlineLevel="0" collapsed="false">
      <c r="A23" s="14" t="n">
        <v>20</v>
      </c>
      <c r="B23" s="19"/>
      <c r="C23" s="20"/>
      <c r="D23" s="17"/>
      <c r="E23" s="17"/>
      <c r="F23" s="19"/>
      <c r="G23" s="17"/>
      <c r="H23" s="17"/>
      <c r="I23" s="17"/>
      <c r="J23" s="21" t="str">
        <f aca="false">IF(AND(ISNUMBER(G23),ISNUMBER(H23)),G23*H23/60,"")</f>
        <v/>
      </c>
      <c r="K23" s="21" t="str">
        <f aca="false">IF(ISNUMBER(J23),J23*12,"")</f>
        <v/>
      </c>
      <c r="L23" s="19"/>
      <c r="M23" s="19"/>
      <c r="N23" s="19"/>
      <c r="O23" s="19"/>
      <c r="P23" s="17"/>
    </row>
    <row r="24" customFormat="false" ht="24" hidden="false" customHeight="true" outlineLevel="0" collapsed="false">
      <c r="A24" s="14" t="n">
        <v>21</v>
      </c>
      <c r="B24" s="19"/>
      <c r="C24" s="20"/>
      <c r="D24" s="17"/>
      <c r="E24" s="17"/>
      <c r="F24" s="19"/>
      <c r="G24" s="17"/>
      <c r="H24" s="17"/>
      <c r="I24" s="17"/>
      <c r="J24" s="21" t="str">
        <f aca="false">IF(AND(ISNUMBER(G24),ISNUMBER(H24)),G24*H24/60,"")</f>
        <v/>
      </c>
      <c r="K24" s="21" t="str">
        <f aca="false">IF(ISNUMBER(J24),J24*12,"")</f>
        <v/>
      </c>
      <c r="L24" s="19"/>
      <c r="M24" s="19"/>
      <c r="N24" s="19"/>
      <c r="O24" s="19"/>
      <c r="P24" s="17"/>
    </row>
    <row r="25" customFormat="false" ht="24" hidden="false" customHeight="true" outlineLevel="0" collapsed="false">
      <c r="A25" s="14" t="n">
        <v>22</v>
      </c>
      <c r="B25" s="19"/>
      <c r="C25" s="20"/>
      <c r="D25" s="17"/>
      <c r="E25" s="17"/>
      <c r="F25" s="19"/>
      <c r="G25" s="17"/>
      <c r="H25" s="17"/>
      <c r="I25" s="17"/>
      <c r="J25" s="21" t="str">
        <f aca="false">IF(AND(ISNUMBER(G25),ISNUMBER(H25)),G25*H25/60,"")</f>
        <v/>
      </c>
      <c r="K25" s="21" t="str">
        <f aca="false">IF(ISNUMBER(J25),J25*12,"")</f>
        <v/>
      </c>
      <c r="L25" s="19"/>
      <c r="M25" s="19"/>
      <c r="N25" s="19"/>
      <c r="O25" s="19"/>
      <c r="P25" s="17"/>
    </row>
    <row r="26" customFormat="false" ht="24" hidden="false" customHeight="true" outlineLevel="0" collapsed="false">
      <c r="A26" s="14" t="n">
        <v>23</v>
      </c>
      <c r="B26" s="19"/>
      <c r="C26" s="20"/>
      <c r="D26" s="17"/>
      <c r="E26" s="17"/>
      <c r="F26" s="19"/>
      <c r="G26" s="17"/>
      <c r="H26" s="17"/>
      <c r="I26" s="17"/>
      <c r="J26" s="21" t="str">
        <f aca="false">IF(AND(ISNUMBER(G26),ISNUMBER(H26)),G26*H26/60,"")</f>
        <v/>
      </c>
      <c r="K26" s="21" t="str">
        <f aca="false">IF(ISNUMBER(J26),J26*12,"")</f>
        <v/>
      </c>
      <c r="L26" s="19"/>
      <c r="M26" s="19"/>
      <c r="N26" s="19"/>
      <c r="O26" s="19"/>
      <c r="P26" s="17"/>
    </row>
    <row r="27" customFormat="false" ht="24" hidden="false" customHeight="true" outlineLevel="0" collapsed="false">
      <c r="A27" s="14" t="n">
        <v>24</v>
      </c>
      <c r="B27" s="19"/>
      <c r="C27" s="20"/>
      <c r="D27" s="17"/>
      <c r="E27" s="17"/>
      <c r="F27" s="19"/>
      <c r="G27" s="17"/>
      <c r="H27" s="17"/>
      <c r="I27" s="17"/>
      <c r="J27" s="21" t="str">
        <f aca="false">IF(AND(ISNUMBER(G27),ISNUMBER(H27)),G27*H27/60,"")</f>
        <v/>
      </c>
      <c r="K27" s="21" t="str">
        <f aca="false">IF(ISNUMBER(J27),J27*12,"")</f>
        <v/>
      </c>
      <c r="L27" s="19"/>
      <c r="M27" s="19"/>
      <c r="N27" s="19"/>
      <c r="O27" s="19"/>
      <c r="P27" s="17"/>
    </row>
    <row r="28" customFormat="false" ht="24" hidden="false" customHeight="true" outlineLevel="0" collapsed="false">
      <c r="A28" s="14" t="n">
        <v>25</v>
      </c>
      <c r="B28" s="19"/>
      <c r="C28" s="20"/>
      <c r="D28" s="17"/>
      <c r="E28" s="17"/>
      <c r="F28" s="19"/>
      <c r="G28" s="17"/>
      <c r="H28" s="17"/>
      <c r="I28" s="17"/>
      <c r="J28" s="21" t="str">
        <f aca="false">IF(AND(ISNUMBER(G28),ISNUMBER(H28)),G28*H28/60,"")</f>
        <v/>
      </c>
      <c r="K28" s="21" t="str">
        <f aca="false">IF(ISNUMBER(J28),J28*12,"")</f>
        <v/>
      </c>
      <c r="L28" s="19"/>
      <c r="M28" s="19"/>
      <c r="N28" s="19"/>
      <c r="O28" s="19"/>
      <c r="P28" s="17"/>
    </row>
    <row r="29" customFormat="false" ht="24" hidden="false" customHeight="true" outlineLevel="0" collapsed="false">
      <c r="A29" s="14" t="n">
        <v>26</v>
      </c>
      <c r="B29" s="19"/>
      <c r="C29" s="20"/>
      <c r="D29" s="17"/>
      <c r="E29" s="17"/>
      <c r="F29" s="19"/>
      <c r="G29" s="17"/>
      <c r="H29" s="17"/>
      <c r="I29" s="17"/>
      <c r="J29" s="21" t="str">
        <f aca="false">IF(AND(ISNUMBER(G29),ISNUMBER(H29)),G29*H29/60,"")</f>
        <v/>
      </c>
      <c r="K29" s="21" t="str">
        <f aca="false">IF(ISNUMBER(J29),J29*12,"")</f>
        <v/>
      </c>
      <c r="L29" s="19"/>
      <c r="M29" s="19"/>
      <c r="N29" s="19"/>
      <c r="O29" s="19"/>
      <c r="P29" s="17"/>
    </row>
    <row r="30" customFormat="false" ht="24" hidden="false" customHeight="true" outlineLevel="0" collapsed="false">
      <c r="A30" s="14" t="n">
        <v>27</v>
      </c>
      <c r="B30" s="19"/>
      <c r="C30" s="20"/>
      <c r="D30" s="17"/>
      <c r="E30" s="17"/>
      <c r="F30" s="19"/>
      <c r="G30" s="17"/>
      <c r="H30" s="17"/>
      <c r="I30" s="17"/>
      <c r="J30" s="21" t="str">
        <f aca="false">IF(AND(ISNUMBER(G30),ISNUMBER(H30)),G30*H30/60,"")</f>
        <v/>
      </c>
      <c r="K30" s="21" t="str">
        <f aca="false">IF(ISNUMBER(J30),J30*12,"")</f>
        <v/>
      </c>
      <c r="L30" s="19"/>
      <c r="M30" s="19"/>
      <c r="N30" s="19"/>
      <c r="O30" s="19"/>
      <c r="P30" s="17"/>
    </row>
    <row r="31" customFormat="false" ht="24" hidden="false" customHeight="true" outlineLevel="0" collapsed="false">
      <c r="A31" s="14" t="n">
        <v>28</v>
      </c>
      <c r="B31" s="19"/>
      <c r="C31" s="20"/>
      <c r="D31" s="17"/>
      <c r="E31" s="17"/>
      <c r="F31" s="19"/>
      <c r="G31" s="17"/>
      <c r="H31" s="17"/>
      <c r="I31" s="17"/>
      <c r="J31" s="21" t="str">
        <f aca="false">IF(AND(ISNUMBER(G31),ISNUMBER(H31)),G31*H31/60,"")</f>
        <v/>
      </c>
      <c r="K31" s="21" t="str">
        <f aca="false">IF(ISNUMBER(J31),J31*12,"")</f>
        <v/>
      </c>
      <c r="L31" s="19"/>
      <c r="M31" s="19"/>
      <c r="N31" s="19"/>
      <c r="O31" s="19"/>
      <c r="P31" s="17"/>
    </row>
    <row r="32" customFormat="false" ht="24" hidden="false" customHeight="true" outlineLevel="0" collapsed="false">
      <c r="A32" s="14" t="n">
        <v>29</v>
      </c>
      <c r="B32" s="19"/>
      <c r="C32" s="20"/>
      <c r="D32" s="17"/>
      <c r="E32" s="17"/>
      <c r="F32" s="19"/>
      <c r="G32" s="17"/>
      <c r="H32" s="17"/>
      <c r="I32" s="17"/>
      <c r="J32" s="21" t="str">
        <f aca="false">IF(AND(ISNUMBER(G32),ISNUMBER(H32)),G32*H32/60,"")</f>
        <v/>
      </c>
      <c r="K32" s="21" t="str">
        <f aca="false">IF(ISNUMBER(J32),J32*12,"")</f>
        <v/>
      </c>
      <c r="L32" s="19"/>
      <c r="M32" s="19"/>
      <c r="N32" s="19"/>
      <c r="O32" s="19"/>
      <c r="P32" s="17"/>
    </row>
    <row r="33" customFormat="false" ht="24" hidden="false" customHeight="true" outlineLevel="0" collapsed="false">
      <c r="A33" s="14" t="n">
        <v>30</v>
      </c>
      <c r="B33" s="19"/>
      <c r="C33" s="20"/>
      <c r="D33" s="17"/>
      <c r="E33" s="17"/>
      <c r="F33" s="19"/>
      <c r="G33" s="17"/>
      <c r="H33" s="17"/>
      <c r="I33" s="17"/>
      <c r="J33" s="21" t="str">
        <f aca="false">IF(AND(ISNUMBER(G33),ISNUMBER(H33)),G33*H33/60,"")</f>
        <v/>
      </c>
      <c r="K33" s="21" t="str">
        <f aca="false">IF(ISNUMBER(J33),J33*12,"")</f>
        <v/>
      </c>
      <c r="L33" s="19"/>
      <c r="M33" s="19"/>
      <c r="N33" s="19"/>
      <c r="O33" s="19"/>
      <c r="P33" s="17"/>
    </row>
    <row r="34" customFormat="false" ht="24" hidden="false" customHeight="true" outlineLevel="0" collapsed="false">
      <c r="A34" s="14" t="n">
        <v>31</v>
      </c>
      <c r="B34" s="19"/>
      <c r="C34" s="20"/>
      <c r="D34" s="17"/>
      <c r="E34" s="17"/>
      <c r="F34" s="19"/>
      <c r="G34" s="17"/>
      <c r="H34" s="17"/>
      <c r="I34" s="17"/>
      <c r="J34" s="21" t="str">
        <f aca="false">IF(AND(ISNUMBER(G34),ISNUMBER(H34)),G34*H34/60,"")</f>
        <v/>
      </c>
      <c r="K34" s="21" t="str">
        <f aca="false">IF(ISNUMBER(J34),J34*12,"")</f>
        <v/>
      </c>
      <c r="L34" s="19"/>
      <c r="M34" s="19"/>
      <c r="N34" s="19"/>
      <c r="O34" s="19"/>
      <c r="P34" s="17"/>
    </row>
    <row r="35" customFormat="false" ht="24" hidden="false" customHeight="true" outlineLevel="0" collapsed="false">
      <c r="A35" s="14" t="n">
        <v>32</v>
      </c>
      <c r="B35" s="19"/>
      <c r="C35" s="20"/>
      <c r="D35" s="17"/>
      <c r="E35" s="17"/>
      <c r="F35" s="19"/>
      <c r="G35" s="17"/>
      <c r="H35" s="17"/>
      <c r="I35" s="17"/>
      <c r="J35" s="21" t="str">
        <f aca="false">IF(AND(ISNUMBER(G35),ISNUMBER(H35)),G35*H35/60,"")</f>
        <v/>
      </c>
      <c r="K35" s="21" t="str">
        <f aca="false">IF(ISNUMBER(J35),J35*12,"")</f>
        <v/>
      </c>
      <c r="L35" s="19"/>
      <c r="M35" s="19"/>
      <c r="N35" s="19"/>
      <c r="O35" s="19"/>
      <c r="P35" s="17"/>
    </row>
    <row r="36" customFormat="false" ht="24" hidden="false" customHeight="true" outlineLevel="0" collapsed="false">
      <c r="A36" s="14" t="n">
        <v>33</v>
      </c>
      <c r="B36" s="19"/>
      <c r="C36" s="20"/>
      <c r="D36" s="17"/>
      <c r="E36" s="17"/>
      <c r="F36" s="19"/>
      <c r="G36" s="17"/>
      <c r="H36" s="17"/>
      <c r="I36" s="17"/>
      <c r="J36" s="21" t="str">
        <f aca="false">IF(AND(ISNUMBER(G36),ISNUMBER(H36)),G36*H36/60,"")</f>
        <v/>
      </c>
      <c r="K36" s="21" t="str">
        <f aca="false">IF(ISNUMBER(J36),J36*12,"")</f>
        <v/>
      </c>
      <c r="L36" s="19"/>
      <c r="M36" s="19"/>
      <c r="N36" s="19"/>
      <c r="O36" s="19"/>
      <c r="P36" s="17"/>
    </row>
    <row r="37" customFormat="false" ht="24" hidden="false" customHeight="true" outlineLevel="0" collapsed="false">
      <c r="A37" s="14" t="n">
        <v>34</v>
      </c>
      <c r="B37" s="19"/>
      <c r="C37" s="20"/>
      <c r="D37" s="17"/>
      <c r="E37" s="17"/>
      <c r="F37" s="19"/>
      <c r="G37" s="17"/>
      <c r="H37" s="17"/>
      <c r="I37" s="17"/>
      <c r="J37" s="21" t="str">
        <f aca="false">IF(AND(ISNUMBER(G37),ISNUMBER(H37)),G37*H37/60,"")</f>
        <v/>
      </c>
      <c r="K37" s="21" t="str">
        <f aca="false">IF(ISNUMBER(J37),J37*12,"")</f>
        <v/>
      </c>
      <c r="L37" s="19"/>
      <c r="M37" s="19"/>
      <c r="N37" s="19"/>
      <c r="O37" s="19"/>
      <c r="P37" s="17"/>
    </row>
    <row r="38" customFormat="false" ht="24" hidden="false" customHeight="true" outlineLevel="0" collapsed="false">
      <c r="A38" s="14" t="n">
        <v>35</v>
      </c>
      <c r="B38" s="19"/>
      <c r="C38" s="20"/>
      <c r="D38" s="17"/>
      <c r="E38" s="17"/>
      <c r="F38" s="19"/>
      <c r="G38" s="17"/>
      <c r="H38" s="17"/>
      <c r="I38" s="17"/>
      <c r="J38" s="21" t="str">
        <f aca="false">IF(AND(ISNUMBER(G38),ISNUMBER(H38)),G38*H38/60,"")</f>
        <v/>
      </c>
      <c r="K38" s="21" t="str">
        <f aca="false">IF(ISNUMBER(J38),J38*12,"")</f>
        <v/>
      </c>
      <c r="L38" s="19"/>
      <c r="M38" s="19"/>
      <c r="N38" s="19"/>
      <c r="O38" s="19"/>
      <c r="P38" s="17"/>
    </row>
    <row r="39" customFormat="false" ht="24" hidden="false" customHeight="true" outlineLevel="0" collapsed="false">
      <c r="A39" s="14" t="n">
        <v>36</v>
      </c>
      <c r="B39" s="19"/>
      <c r="C39" s="20"/>
      <c r="D39" s="17"/>
      <c r="E39" s="17"/>
      <c r="F39" s="19"/>
      <c r="G39" s="17"/>
      <c r="H39" s="17"/>
      <c r="I39" s="17"/>
      <c r="J39" s="21" t="str">
        <f aca="false">IF(AND(ISNUMBER(G39),ISNUMBER(H39)),G39*H39/60,"")</f>
        <v/>
      </c>
      <c r="K39" s="21" t="str">
        <f aca="false">IF(ISNUMBER(J39),J39*12,"")</f>
        <v/>
      </c>
      <c r="L39" s="19"/>
      <c r="M39" s="19"/>
      <c r="N39" s="19"/>
      <c r="O39" s="19"/>
      <c r="P39" s="17"/>
    </row>
    <row r="40" customFormat="false" ht="24" hidden="false" customHeight="true" outlineLevel="0" collapsed="false">
      <c r="A40" s="14" t="n">
        <v>37</v>
      </c>
      <c r="B40" s="19"/>
      <c r="C40" s="20"/>
      <c r="D40" s="17"/>
      <c r="E40" s="17"/>
      <c r="F40" s="19"/>
      <c r="G40" s="17"/>
      <c r="H40" s="17"/>
      <c r="I40" s="17"/>
      <c r="J40" s="21" t="str">
        <f aca="false">IF(AND(ISNUMBER(G40),ISNUMBER(H40)),G40*H40/60,"")</f>
        <v/>
      </c>
      <c r="K40" s="21" t="str">
        <f aca="false">IF(ISNUMBER(J40),J40*12,"")</f>
        <v/>
      </c>
      <c r="L40" s="19"/>
      <c r="M40" s="19"/>
      <c r="N40" s="19"/>
      <c r="O40" s="19"/>
      <c r="P40" s="17"/>
    </row>
    <row r="41" customFormat="false" ht="24" hidden="false" customHeight="true" outlineLevel="0" collapsed="false">
      <c r="A41" s="14" t="n">
        <v>38</v>
      </c>
      <c r="B41" s="19"/>
      <c r="C41" s="20"/>
      <c r="D41" s="17"/>
      <c r="E41" s="17"/>
      <c r="F41" s="19"/>
      <c r="G41" s="17"/>
      <c r="H41" s="17"/>
      <c r="I41" s="17"/>
      <c r="J41" s="21" t="str">
        <f aca="false">IF(AND(ISNUMBER(G41),ISNUMBER(H41)),G41*H41/60,"")</f>
        <v/>
      </c>
      <c r="K41" s="21" t="str">
        <f aca="false">IF(ISNUMBER(J41),J41*12,"")</f>
        <v/>
      </c>
      <c r="L41" s="19"/>
      <c r="M41" s="19"/>
      <c r="N41" s="19"/>
      <c r="O41" s="19"/>
      <c r="P41" s="17"/>
    </row>
    <row r="42" customFormat="false" ht="24" hidden="false" customHeight="true" outlineLevel="0" collapsed="false">
      <c r="A42" s="14" t="n">
        <v>39</v>
      </c>
      <c r="B42" s="19"/>
      <c r="C42" s="20"/>
      <c r="D42" s="17"/>
      <c r="E42" s="17"/>
      <c r="F42" s="19"/>
      <c r="G42" s="17"/>
      <c r="H42" s="17"/>
      <c r="I42" s="17"/>
      <c r="J42" s="21" t="str">
        <f aca="false">IF(AND(ISNUMBER(G42),ISNUMBER(H42)),G42*H42/60,"")</f>
        <v/>
      </c>
      <c r="K42" s="21" t="str">
        <f aca="false">IF(ISNUMBER(J42),J42*12,"")</f>
        <v/>
      </c>
      <c r="L42" s="19"/>
      <c r="M42" s="19"/>
      <c r="N42" s="19"/>
      <c r="O42" s="19"/>
      <c r="P42" s="17"/>
    </row>
    <row r="43" customFormat="false" ht="24" hidden="false" customHeight="true" outlineLevel="0" collapsed="false">
      <c r="A43" s="14" t="n">
        <v>40</v>
      </c>
      <c r="B43" s="19"/>
      <c r="C43" s="20"/>
      <c r="D43" s="17"/>
      <c r="E43" s="17"/>
      <c r="F43" s="19"/>
      <c r="G43" s="17"/>
      <c r="H43" s="17"/>
      <c r="I43" s="17"/>
      <c r="J43" s="21" t="str">
        <f aca="false">IF(AND(ISNUMBER(G43),ISNUMBER(H43)),G43*H43/60,"")</f>
        <v/>
      </c>
      <c r="K43" s="21" t="str">
        <f aca="false">IF(ISNUMBER(J43),J43*12,"")</f>
        <v/>
      </c>
      <c r="L43" s="19"/>
      <c r="M43" s="19"/>
      <c r="N43" s="19"/>
      <c r="O43" s="19"/>
      <c r="P43" s="17"/>
    </row>
    <row r="44" customFormat="false" ht="24" hidden="false" customHeight="true" outlineLevel="0" collapsed="false">
      <c r="A44" s="14" t="n">
        <v>41</v>
      </c>
      <c r="B44" s="19"/>
      <c r="C44" s="20"/>
      <c r="D44" s="17"/>
      <c r="E44" s="17"/>
      <c r="F44" s="19"/>
      <c r="G44" s="17"/>
      <c r="H44" s="17"/>
      <c r="I44" s="17"/>
      <c r="J44" s="21" t="str">
        <f aca="false">IF(AND(ISNUMBER(G44),ISNUMBER(H44)),G44*H44/60,"")</f>
        <v/>
      </c>
      <c r="K44" s="21" t="str">
        <f aca="false">IF(ISNUMBER(J44),J44*12,"")</f>
        <v/>
      </c>
      <c r="L44" s="19"/>
      <c r="M44" s="19"/>
      <c r="N44" s="19"/>
      <c r="O44" s="19"/>
      <c r="P44" s="17"/>
    </row>
    <row r="45" customFormat="false" ht="24" hidden="false" customHeight="true" outlineLevel="0" collapsed="false">
      <c r="A45" s="14" t="n">
        <v>42</v>
      </c>
      <c r="B45" s="19"/>
      <c r="C45" s="20"/>
      <c r="D45" s="17"/>
      <c r="E45" s="17"/>
      <c r="F45" s="19"/>
      <c r="G45" s="17"/>
      <c r="H45" s="17"/>
      <c r="I45" s="17"/>
      <c r="J45" s="21" t="str">
        <f aca="false">IF(AND(ISNUMBER(G45),ISNUMBER(H45)),G45*H45/60,"")</f>
        <v/>
      </c>
      <c r="K45" s="21" t="str">
        <f aca="false">IF(ISNUMBER(J45),J45*12,"")</f>
        <v/>
      </c>
      <c r="L45" s="19"/>
      <c r="M45" s="19"/>
      <c r="N45" s="19"/>
      <c r="O45" s="19"/>
      <c r="P45" s="17"/>
    </row>
    <row r="46" customFormat="false" ht="24" hidden="false" customHeight="true" outlineLevel="0" collapsed="false">
      <c r="A46" s="14" t="n">
        <v>43</v>
      </c>
      <c r="B46" s="19"/>
      <c r="C46" s="20"/>
      <c r="D46" s="17"/>
      <c r="E46" s="17"/>
      <c r="F46" s="19"/>
      <c r="G46" s="17"/>
      <c r="H46" s="17"/>
      <c r="I46" s="17"/>
      <c r="J46" s="21" t="str">
        <f aca="false">IF(AND(ISNUMBER(G46),ISNUMBER(H46)),G46*H46/60,"")</f>
        <v/>
      </c>
      <c r="K46" s="21" t="str">
        <f aca="false">IF(ISNUMBER(J46),J46*12,"")</f>
        <v/>
      </c>
      <c r="L46" s="19"/>
      <c r="M46" s="19"/>
      <c r="N46" s="19"/>
      <c r="O46" s="19"/>
      <c r="P46" s="17"/>
    </row>
    <row r="47" customFormat="false" ht="24" hidden="false" customHeight="true" outlineLevel="0" collapsed="false">
      <c r="A47" s="14" t="n">
        <v>44</v>
      </c>
      <c r="B47" s="19"/>
      <c r="C47" s="20"/>
      <c r="D47" s="17"/>
      <c r="E47" s="17"/>
      <c r="F47" s="19"/>
      <c r="G47" s="17"/>
      <c r="H47" s="17"/>
      <c r="I47" s="17"/>
      <c r="J47" s="21" t="str">
        <f aca="false">IF(AND(ISNUMBER(G47),ISNUMBER(H47)),G47*H47/60,"")</f>
        <v/>
      </c>
      <c r="K47" s="21" t="str">
        <f aca="false">IF(ISNUMBER(J47),J47*12,"")</f>
        <v/>
      </c>
      <c r="L47" s="19"/>
      <c r="M47" s="19"/>
      <c r="N47" s="19"/>
      <c r="O47" s="19"/>
      <c r="P47" s="17"/>
    </row>
    <row r="48" customFormat="false" ht="24" hidden="false" customHeight="true" outlineLevel="0" collapsed="false">
      <c r="A48" s="14" t="n">
        <v>45</v>
      </c>
      <c r="B48" s="19"/>
      <c r="C48" s="20"/>
      <c r="D48" s="17"/>
      <c r="E48" s="17"/>
      <c r="F48" s="19"/>
      <c r="G48" s="17"/>
      <c r="H48" s="17"/>
      <c r="I48" s="17"/>
      <c r="J48" s="21" t="str">
        <f aca="false">IF(AND(ISNUMBER(G48),ISNUMBER(H48)),G48*H48/60,"")</f>
        <v/>
      </c>
      <c r="K48" s="21" t="str">
        <f aca="false">IF(ISNUMBER(J48),J48*12,"")</f>
        <v/>
      </c>
      <c r="L48" s="19"/>
      <c r="M48" s="19"/>
      <c r="N48" s="19"/>
      <c r="O48" s="19"/>
      <c r="P48" s="17"/>
    </row>
    <row r="49" customFormat="false" ht="24" hidden="false" customHeight="true" outlineLevel="0" collapsed="false">
      <c r="A49" s="14" t="n">
        <v>46</v>
      </c>
      <c r="B49" s="19"/>
      <c r="C49" s="20"/>
      <c r="D49" s="17"/>
      <c r="E49" s="17"/>
      <c r="F49" s="19"/>
      <c r="G49" s="17"/>
      <c r="H49" s="17"/>
      <c r="I49" s="17"/>
      <c r="J49" s="21" t="str">
        <f aca="false">IF(AND(ISNUMBER(G49),ISNUMBER(H49)),G49*H49/60,"")</f>
        <v/>
      </c>
      <c r="K49" s="21" t="str">
        <f aca="false">IF(ISNUMBER(J49),J49*12,"")</f>
        <v/>
      </c>
      <c r="L49" s="19"/>
      <c r="M49" s="19"/>
      <c r="N49" s="19"/>
      <c r="O49" s="19"/>
      <c r="P49" s="17"/>
    </row>
    <row r="50" customFormat="false" ht="24" hidden="false" customHeight="true" outlineLevel="0" collapsed="false">
      <c r="A50" s="14" t="n">
        <v>47</v>
      </c>
      <c r="B50" s="19"/>
      <c r="C50" s="20"/>
      <c r="D50" s="17"/>
      <c r="E50" s="17"/>
      <c r="F50" s="19"/>
      <c r="G50" s="17"/>
      <c r="H50" s="17"/>
      <c r="I50" s="17"/>
      <c r="J50" s="21" t="str">
        <f aca="false">IF(AND(ISNUMBER(G50),ISNUMBER(H50)),G50*H50/60,"")</f>
        <v/>
      </c>
      <c r="K50" s="21" t="str">
        <f aca="false">IF(ISNUMBER(J50),J50*12,"")</f>
        <v/>
      </c>
      <c r="L50" s="19"/>
      <c r="M50" s="19"/>
      <c r="N50" s="19"/>
      <c r="O50" s="19"/>
      <c r="P50" s="17"/>
    </row>
    <row r="51" customFormat="false" ht="24" hidden="false" customHeight="true" outlineLevel="0" collapsed="false">
      <c r="A51" s="14" t="n">
        <v>48</v>
      </c>
      <c r="B51" s="19"/>
      <c r="C51" s="20"/>
      <c r="D51" s="17"/>
      <c r="E51" s="17"/>
      <c r="F51" s="19"/>
      <c r="G51" s="17"/>
      <c r="H51" s="17"/>
      <c r="I51" s="17"/>
      <c r="J51" s="21" t="str">
        <f aca="false">IF(AND(ISNUMBER(G51),ISNUMBER(H51)),G51*H51/60,"")</f>
        <v/>
      </c>
      <c r="K51" s="21" t="str">
        <f aca="false">IF(ISNUMBER(J51),J51*12,"")</f>
        <v/>
      </c>
      <c r="L51" s="19"/>
      <c r="M51" s="19"/>
      <c r="N51" s="19"/>
      <c r="O51" s="19"/>
      <c r="P51" s="17"/>
    </row>
    <row r="52" customFormat="false" ht="24" hidden="false" customHeight="true" outlineLevel="0" collapsed="false">
      <c r="A52" s="14" t="n">
        <v>49</v>
      </c>
      <c r="B52" s="19"/>
      <c r="C52" s="20"/>
      <c r="D52" s="17"/>
      <c r="E52" s="17"/>
      <c r="F52" s="19"/>
      <c r="G52" s="17"/>
      <c r="H52" s="17"/>
      <c r="I52" s="17"/>
      <c r="J52" s="21" t="str">
        <f aca="false">IF(AND(ISNUMBER(G52),ISNUMBER(H52)),G52*H52/60,"")</f>
        <v/>
      </c>
      <c r="K52" s="21" t="str">
        <f aca="false">IF(ISNUMBER(J52),J52*12,"")</f>
        <v/>
      </c>
      <c r="L52" s="19"/>
      <c r="M52" s="19"/>
      <c r="N52" s="19"/>
      <c r="O52" s="19"/>
      <c r="P52" s="17"/>
    </row>
    <row r="53" customFormat="false" ht="24" hidden="false" customHeight="true" outlineLevel="0" collapsed="false">
      <c r="A53" s="14" t="n">
        <v>50</v>
      </c>
      <c r="B53" s="19"/>
      <c r="C53" s="20"/>
      <c r="D53" s="17"/>
      <c r="E53" s="17"/>
      <c r="F53" s="19"/>
      <c r="G53" s="17"/>
      <c r="H53" s="17"/>
      <c r="I53" s="17"/>
      <c r="J53" s="21" t="str">
        <f aca="false">IF(AND(ISNUMBER(G53),ISNUMBER(H53)),G53*H53/60,"")</f>
        <v/>
      </c>
      <c r="K53" s="21" t="str">
        <f aca="false">IF(ISNUMBER(J53),J53*12,"")</f>
        <v/>
      </c>
      <c r="L53" s="19"/>
      <c r="M53" s="19"/>
      <c r="N53" s="19"/>
      <c r="O53" s="19"/>
      <c r="P53" s="17"/>
    </row>
    <row r="54" customFormat="false" ht="24" hidden="false" customHeight="true" outlineLevel="0" collapsed="false">
      <c r="A54" s="14" t="n">
        <v>51</v>
      </c>
      <c r="B54" s="19"/>
      <c r="C54" s="20"/>
      <c r="D54" s="17"/>
      <c r="E54" s="17"/>
      <c r="F54" s="19"/>
      <c r="G54" s="17"/>
      <c r="H54" s="17"/>
      <c r="I54" s="17"/>
      <c r="J54" s="21" t="str">
        <f aca="false">IF(AND(ISNUMBER(G54),ISNUMBER(H54)),G54*H54/60,"")</f>
        <v/>
      </c>
      <c r="K54" s="21" t="str">
        <f aca="false">IF(ISNUMBER(J54),J54*12,"")</f>
        <v/>
      </c>
      <c r="L54" s="19"/>
      <c r="M54" s="19"/>
      <c r="N54" s="19"/>
      <c r="O54" s="19"/>
      <c r="P54" s="17"/>
    </row>
    <row r="55" customFormat="false" ht="24" hidden="false" customHeight="true" outlineLevel="0" collapsed="false">
      <c r="A55" s="14" t="n">
        <v>52</v>
      </c>
      <c r="B55" s="19"/>
      <c r="C55" s="20"/>
      <c r="D55" s="17"/>
      <c r="E55" s="17"/>
      <c r="F55" s="19"/>
      <c r="G55" s="17"/>
      <c r="H55" s="17"/>
      <c r="I55" s="17"/>
      <c r="J55" s="21" t="str">
        <f aca="false">IF(AND(ISNUMBER(G55),ISNUMBER(H55)),G55*H55/60,"")</f>
        <v/>
      </c>
      <c r="K55" s="21" t="str">
        <f aca="false">IF(ISNUMBER(J55),J55*12,"")</f>
        <v/>
      </c>
      <c r="L55" s="19"/>
      <c r="M55" s="19"/>
      <c r="N55" s="19"/>
      <c r="O55" s="19"/>
      <c r="P55" s="17"/>
    </row>
    <row r="56" customFormat="false" ht="24" hidden="false" customHeight="true" outlineLevel="0" collapsed="false">
      <c r="A56" s="14" t="n">
        <v>53</v>
      </c>
      <c r="B56" s="19"/>
      <c r="C56" s="20"/>
      <c r="D56" s="17"/>
      <c r="E56" s="17"/>
      <c r="F56" s="19"/>
      <c r="G56" s="17"/>
      <c r="H56" s="17"/>
      <c r="I56" s="17"/>
      <c r="J56" s="21" t="str">
        <f aca="false">IF(AND(ISNUMBER(G56),ISNUMBER(H56)),G56*H56/60,"")</f>
        <v/>
      </c>
      <c r="K56" s="21" t="str">
        <f aca="false">IF(ISNUMBER(J56),J56*12,"")</f>
        <v/>
      </c>
      <c r="L56" s="19"/>
      <c r="M56" s="19"/>
      <c r="N56" s="19"/>
      <c r="O56" s="19"/>
      <c r="P56" s="17"/>
    </row>
    <row r="57" customFormat="false" ht="24" hidden="false" customHeight="true" outlineLevel="0" collapsed="false">
      <c r="A57" s="14" t="n">
        <v>54</v>
      </c>
      <c r="B57" s="19"/>
      <c r="C57" s="20"/>
      <c r="D57" s="17"/>
      <c r="E57" s="17"/>
      <c r="F57" s="19"/>
      <c r="G57" s="17"/>
      <c r="H57" s="17"/>
      <c r="I57" s="17"/>
      <c r="J57" s="21" t="str">
        <f aca="false">IF(AND(ISNUMBER(G57),ISNUMBER(H57)),G57*H57/60,"")</f>
        <v/>
      </c>
      <c r="K57" s="21" t="str">
        <f aca="false">IF(ISNUMBER(J57),J57*12,"")</f>
        <v/>
      </c>
      <c r="L57" s="19"/>
      <c r="M57" s="19"/>
      <c r="N57" s="19"/>
      <c r="O57" s="19"/>
      <c r="P57" s="17"/>
    </row>
    <row r="58" customFormat="false" ht="24" hidden="false" customHeight="true" outlineLevel="0" collapsed="false">
      <c r="A58" s="14" t="n">
        <v>55</v>
      </c>
      <c r="B58" s="19"/>
      <c r="C58" s="20"/>
      <c r="D58" s="17"/>
      <c r="E58" s="17"/>
      <c r="F58" s="19"/>
      <c r="G58" s="17"/>
      <c r="H58" s="17"/>
      <c r="I58" s="17"/>
      <c r="J58" s="21" t="str">
        <f aca="false">IF(AND(ISNUMBER(G58),ISNUMBER(H58)),G58*H58/60,"")</f>
        <v/>
      </c>
      <c r="K58" s="21" t="str">
        <f aca="false">IF(ISNUMBER(J58),J58*12,"")</f>
        <v/>
      </c>
      <c r="L58" s="19"/>
      <c r="M58" s="19"/>
      <c r="N58" s="19"/>
      <c r="O58" s="19"/>
      <c r="P58" s="17"/>
    </row>
    <row r="59" customFormat="false" ht="24" hidden="false" customHeight="true" outlineLevel="0" collapsed="false">
      <c r="A59" s="14" t="n">
        <v>56</v>
      </c>
      <c r="B59" s="19"/>
      <c r="C59" s="20"/>
      <c r="D59" s="17"/>
      <c r="E59" s="17"/>
      <c r="F59" s="19"/>
      <c r="G59" s="17"/>
      <c r="H59" s="17"/>
      <c r="I59" s="17"/>
      <c r="J59" s="21" t="str">
        <f aca="false">IF(AND(ISNUMBER(G59),ISNUMBER(H59)),G59*H59/60,"")</f>
        <v/>
      </c>
      <c r="K59" s="21" t="str">
        <f aca="false">IF(ISNUMBER(J59),J59*12,"")</f>
        <v/>
      </c>
      <c r="L59" s="19"/>
      <c r="M59" s="19"/>
      <c r="N59" s="19"/>
      <c r="O59" s="19"/>
      <c r="P59" s="17"/>
    </row>
    <row r="60" customFormat="false" ht="24" hidden="false" customHeight="true" outlineLevel="0" collapsed="false">
      <c r="A60" s="14" t="n">
        <v>57</v>
      </c>
      <c r="B60" s="19"/>
      <c r="C60" s="20"/>
      <c r="D60" s="17"/>
      <c r="E60" s="17"/>
      <c r="F60" s="19"/>
      <c r="G60" s="17"/>
      <c r="H60" s="17"/>
      <c r="I60" s="17"/>
      <c r="J60" s="21" t="str">
        <f aca="false">IF(AND(ISNUMBER(G60),ISNUMBER(H60)),G60*H60/60,"")</f>
        <v/>
      </c>
      <c r="K60" s="21" t="str">
        <f aca="false">IF(ISNUMBER(J60),J60*12,"")</f>
        <v/>
      </c>
      <c r="L60" s="19"/>
      <c r="M60" s="19"/>
      <c r="N60" s="19"/>
      <c r="O60" s="19"/>
      <c r="P60" s="17"/>
    </row>
    <row r="61" customFormat="false" ht="24" hidden="false" customHeight="true" outlineLevel="0" collapsed="false">
      <c r="A61" s="14" t="n">
        <v>58</v>
      </c>
      <c r="B61" s="19"/>
      <c r="C61" s="20"/>
      <c r="D61" s="17"/>
      <c r="E61" s="17"/>
      <c r="F61" s="19"/>
      <c r="G61" s="17"/>
      <c r="H61" s="17"/>
      <c r="I61" s="17"/>
      <c r="J61" s="21" t="str">
        <f aca="false">IF(AND(ISNUMBER(G61),ISNUMBER(H61)),G61*H61/60,"")</f>
        <v/>
      </c>
      <c r="K61" s="21" t="str">
        <f aca="false">IF(ISNUMBER(J61),J61*12,"")</f>
        <v/>
      </c>
      <c r="L61" s="19"/>
      <c r="M61" s="19"/>
      <c r="N61" s="19"/>
      <c r="O61" s="19"/>
      <c r="P61" s="17"/>
    </row>
    <row r="62" customFormat="false" ht="24" hidden="false" customHeight="true" outlineLevel="0" collapsed="false">
      <c r="A62" s="14" t="n">
        <v>59</v>
      </c>
      <c r="B62" s="19"/>
      <c r="C62" s="20"/>
      <c r="D62" s="17"/>
      <c r="E62" s="17"/>
      <c r="F62" s="19"/>
      <c r="G62" s="17"/>
      <c r="H62" s="17"/>
      <c r="I62" s="17"/>
      <c r="J62" s="21" t="str">
        <f aca="false">IF(AND(ISNUMBER(G62),ISNUMBER(H62)),G62*H62/60,"")</f>
        <v/>
      </c>
      <c r="K62" s="21" t="str">
        <f aca="false">IF(ISNUMBER(J62),J62*12,"")</f>
        <v/>
      </c>
      <c r="L62" s="19"/>
      <c r="M62" s="19"/>
      <c r="N62" s="19"/>
      <c r="O62" s="19"/>
      <c r="P62" s="17"/>
    </row>
    <row r="63" customFormat="false" ht="24" hidden="false" customHeight="true" outlineLevel="0" collapsed="false">
      <c r="A63" s="14" t="n">
        <v>60</v>
      </c>
      <c r="B63" s="19"/>
      <c r="C63" s="20"/>
      <c r="D63" s="17"/>
      <c r="E63" s="17"/>
      <c r="F63" s="19"/>
      <c r="G63" s="17"/>
      <c r="H63" s="17"/>
      <c r="I63" s="17"/>
      <c r="J63" s="21" t="str">
        <f aca="false">IF(AND(ISNUMBER(G63),ISNUMBER(H63)),G63*H63/60,"")</f>
        <v/>
      </c>
      <c r="K63" s="21" t="str">
        <f aca="false">IF(ISNUMBER(J63),J63*12,"")</f>
        <v/>
      </c>
      <c r="L63" s="19"/>
      <c r="M63" s="19"/>
      <c r="N63" s="19"/>
      <c r="O63" s="19"/>
      <c r="P63" s="17"/>
    </row>
    <row r="64" customFormat="false" ht="15" hidden="false" customHeight="true" outlineLevel="0" collapsed="false">
      <c r="I64" s="23" t="s">
        <v>136</v>
      </c>
      <c r="J64" s="24" t="n">
        <f aca="false">SUM(J4:J63)</f>
        <v>51.0833333333333</v>
      </c>
      <c r="K64" s="24" t="n">
        <f aca="false">SUM(K4:K63)</f>
        <v>613</v>
      </c>
    </row>
    <row r="66" customFormat="false" ht="15" hidden="false" customHeight="true" outlineLevel="0" collapsed="false">
      <c r="B66" s="12" t="s">
        <v>137</v>
      </c>
      <c r="C66" s="12"/>
      <c r="D66" s="12"/>
      <c r="E66" s="12"/>
      <c r="F66" s="12"/>
      <c r="G66" s="12"/>
      <c r="H66" s="12"/>
      <c r="I66" s="12"/>
      <c r="J66" s="12"/>
    </row>
  </sheetData>
  <mergeCells count="3">
    <mergeCell ref="A1:P1"/>
    <mergeCell ref="A2:P2"/>
    <mergeCell ref="B66:J66"/>
  </mergeCells>
  <dataValidations count="7">
    <dataValidation allowBlank="true" errorStyle="stop" operator="between" showDropDown="false" showErrorMessage="false" showInputMessage="false" sqref="B4:B63" type="list">
      <formula1>"Architecture,Resiliency,Lifecycle,Capacity Planning,Compliance,Security,Observability,Finance / Chargeback,Zephyr Integration,Incident Mgmt (iO)"</formula1>
      <formula2>0</formula2>
    </dataValidation>
    <dataValidation allowBlank="true" errorStyle="stop" operator="between" showDropDown="false" showErrorMessage="false" showInputMessage="false" sqref="C4:C63" type="list">
      <formula1>CapList</formula1>
      <formula2>0</formula2>
    </dataValidation>
    <dataValidation allowBlank="true" errorStyle="stop" operator="between" showDropDown="false" showErrorMessage="false" showInputMessage="false" sqref="F4:F63" type="list">
      <formula1>"Daily,Weekly,Monthly,Quarterly,Ad-hoc"</formula1>
      <formula2>0</formula2>
    </dataValidation>
    <dataValidation allowBlank="true" errorStyle="stop" operator="between" showDropDown="false" showErrorMessage="false" showInputMessage="false" sqref="L4:L63" type="list">
      <formula1>"Toil,Value,Mixed"</formula1>
      <formula2>0</formula2>
    </dataValidation>
    <dataValidation allowBlank="true" errorStyle="stop" operator="between" showDropDown="false" showErrorMessage="false" showInputMessage="false" sqref="M4:M63" type="list">
      <formula1>"Yes,No,Partial"</formula1>
      <formula2>0</formula2>
    </dataValidation>
    <dataValidation allowBlank="true" errorStyle="stop" operator="between" showDropDown="false" showErrorMessage="false" showInputMessage="false" sqref="N4:N63" type="list">
      <formula1>"Yes,No,Partial"</formula1>
      <formula2>0</formula2>
    </dataValidation>
    <dataValidation allowBlank="true" errorStyle="stop" operator="between" showDropDown="false" showErrorMessage="false" showInputMessage="false" sqref="O4:O6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7" min="5" style="1" width="15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8"/>
    <col collapsed="false" customWidth="true" hidden="false" outlineLevel="0" max="13" min="13" style="1" width="11"/>
    <col collapsed="false" customWidth="true" hidden="false" outlineLevel="0" max="14" min="14" style="1" width="24"/>
  </cols>
  <sheetData>
    <row r="1" customFormat="false" ht="30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139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0" hidden="false" customHeight="true" outlineLevel="0" collapsed="false">
      <c r="A3" s="13" t="s">
        <v>28</v>
      </c>
      <c r="B3" s="13" t="s">
        <v>29</v>
      </c>
      <c r="C3" s="13" t="s">
        <v>140</v>
      </c>
      <c r="D3" s="13" t="s">
        <v>141</v>
      </c>
      <c r="E3" s="13" t="s">
        <v>142</v>
      </c>
      <c r="F3" s="13" t="s">
        <v>143</v>
      </c>
      <c r="G3" s="13" t="s">
        <v>144</v>
      </c>
      <c r="H3" s="13" t="s">
        <v>145</v>
      </c>
      <c r="I3" s="13" t="s">
        <v>146</v>
      </c>
      <c r="J3" s="13" t="s">
        <v>100</v>
      </c>
      <c r="K3" s="13" t="s">
        <v>101</v>
      </c>
      <c r="L3" s="13" t="s">
        <v>104</v>
      </c>
      <c r="M3" s="13" t="s">
        <v>36</v>
      </c>
      <c r="N3" s="13" t="s">
        <v>105</v>
      </c>
    </row>
    <row r="4" customFormat="false" ht="24" hidden="false" customHeight="true" outlineLevel="0" collapsed="false">
      <c r="A4" s="14" t="n">
        <v>1</v>
      </c>
      <c r="B4" s="17"/>
      <c r="C4" s="17"/>
      <c r="D4" s="17"/>
      <c r="E4" s="17"/>
      <c r="F4" s="17"/>
      <c r="G4" s="17"/>
      <c r="H4" s="25"/>
      <c r="I4" s="25"/>
      <c r="J4" s="21" t="str">
        <f aca="false">IF(AND(ISNUMBER(E4),ISNUMBER(F4),ISNUMBER(G4)),E4*(F4+G4)/60,"")</f>
        <v/>
      </c>
      <c r="K4" s="21" t="str">
        <f aca="false">IF(ISNUMBER(J4),J4*12,"")</f>
        <v/>
      </c>
      <c r="L4" s="17"/>
      <c r="M4" s="17"/>
      <c r="N4" s="17"/>
    </row>
    <row r="5" customFormat="false" ht="24" hidden="false" customHeight="true" outlineLevel="0" collapsed="false">
      <c r="A5" s="14" t="n">
        <v>2</v>
      </c>
      <c r="B5" s="17"/>
      <c r="C5" s="17"/>
      <c r="D5" s="17"/>
      <c r="E5" s="17"/>
      <c r="F5" s="17"/>
      <c r="G5" s="17"/>
      <c r="H5" s="25"/>
      <c r="I5" s="25"/>
      <c r="J5" s="21" t="str">
        <f aca="false">IF(AND(ISNUMBER(E5),ISNUMBER(F5),ISNUMBER(G5)),E5*(F5+G5)/60,"")</f>
        <v/>
      </c>
      <c r="K5" s="21" t="str">
        <f aca="false">IF(ISNUMBER(J5),J5*12,"")</f>
        <v/>
      </c>
      <c r="L5" s="17"/>
      <c r="M5" s="17"/>
      <c r="N5" s="17"/>
    </row>
    <row r="6" customFormat="false" ht="24" hidden="false" customHeight="true" outlineLevel="0" collapsed="false">
      <c r="A6" s="14" t="n">
        <v>3</v>
      </c>
      <c r="B6" s="17"/>
      <c r="C6" s="17"/>
      <c r="D6" s="17"/>
      <c r="E6" s="17"/>
      <c r="F6" s="17"/>
      <c r="G6" s="17"/>
      <c r="H6" s="25"/>
      <c r="I6" s="25"/>
      <c r="J6" s="21" t="str">
        <f aca="false">IF(AND(ISNUMBER(E6),ISNUMBER(F6),ISNUMBER(G6)),E6*(F6+G6)/60,"")</f>
        <v/>
      </c>
      <c r="K6" s="21" t="str">
        <f aca="false">IF(ISNUMBER(J6),J6*12,"")</f>
        <v/>
      </c>
      <c r="L6" s="17"/>
      <c r="M6" s="17"/>
      <c r="N6" s="17"/>
    </row>
    <row r="7" customFormat="false" ht="24" hidden="false" customHeight="true" outlineLevel="0" collapsed="false">
      <c r="A7" s="14" t="n">
        <v>4</v>
      </c>
      <c r="B7" s="17"/>
      <c r="C7" s="17"/>
      <c r="D7" s="17"/>
      <c r="E7" s="17"/>
      <c r="F7" s="17"/>
      <c r="G7" s="17"/>
      <c r="H7" s="25"/>
      <c r="I7" s="25"/>
      <c r="J7" s="21" t="str">
        <f aca="false">IF(AND(ISNUMBER(E7),ISNUMBER(F7),ISNUMBER(G7)),E7*(F7+G7)/60,"")</f>
        <v/>
      </c>
      <c r="K7" s="21" t="str">
        <f aca="false">IF(ISNUMBER(J7),J7*12,"")</f>
        <v/>
      </c>
      <c r="L7" s="17"/>
      <c r="M7" s="17"/>
      <c r="N7" s="17"/>
    </row>
    <row r="8" customFormat="false" ht="24" hidden="false" customHeight="true" outlineLevel="0" collapsed="false">
      <c r="A8" s="14" t="n">
        <v>5</v>
      </c>
      <c r="B8" s="17"/>
      <c r="C8" s="17"/>
      <c r="D8" s="17"/>
      <c r="E8" s="17"/>
      <c r="F8" s="17"/>
      <c r="G8" s="17"/>
      <c r="H8" s="25"/>
      <c r="I8" s="25"/>
      <c r="J8" s="21" t="str">
        <f aca="false">IF(AND(ISNUMBER(E8),ISNUMBER(F8),ISNUMBER(G8)),E8*(F8+G8)/60,"")</f>
        <v/>
      </c>
      <c r="K8" s="21" t="str">
        <f aca="false">IF(ISNUMBER(J8),J8*12,"")</f>
        <v/>
      </c>
      <c r="L8" s="17"/>
      <c r="M8" s="17"/>
      <c r="N8" s="17"/>
    </row>
    <row r="9" customFormat="false" ht="24" hidden="false" customHeight="true" outlineLevel="0" collapsed="false">
      <c r="A9" s="14" t="n">
        <v>6</v>
      </c>
      <c r="B9" s="17"/>
      <c r="C9" s="17"/>
      <c r="D9" s="17"/>
      <c r="E9" s="17"/>
      <c r="F9" s="17"/>
      <c r="G9" s="17"/>
      <c r="H9" s="25"/>
      <c r="I9" s="25"/>
      <c r="J9" s="21" t="str">
        <f aca="false">IF(AND(ISNUMBER(E9),ISNUMBER(F9),ISNUMBER(G9)),E9*(F9+G9)/60,"")</f>
        <v/>
      </c>
      <c r="K9" s="21" t="str">
        <f aca="false">IF(ISNUMBER(J9),J9*12,"")</f>
        <v/>
      </c>
      <c r="L9" s="17"/>
      <c r="M9" s="17"/>
      <c r="N9" s="17"/>
    </row>
    <row r="10" customFormat="false" ht="24" hidden="false" customHeight="true" outlineLevel="0" collapsed="false">
      <c r="A10" s="14" t="n">
        <v>7</v>
      </c>
      <c r="B10" s="17"/>
      <c r="C10" s="17"/>
      <c r="D10" s="17"/>
      <c r="E10" s="17"/>
      <c r="F10" s="17"/>
      <c r="G10" s="17"/>
      <c r="H10" s="25"/>
      <c r="I10" s="25"/>
      <c r="J10" s="21" t="str">
        <f aca="false">IF(AND(ISNUMBER(E10),ISNUMBER(F10),ISNUMBER(G10)),E10*(F10+G10)/60,"")</f>
        <v/>
      </c>
      <c r="K10" s="21" t="str">
        <f aca="false">IF(ISNUMBER(J10),J10*12,"")</f>
        <v/>
      </c>
      <c r="L10" s="17"/>
      <c r="M10" s="17"/>
      <c r="N10" s="17"/>
    </row>
    <row r="11" customFormat="false" ht="24" hidden="false" customHeight="true" outlineLevel="0" collapsed="false">
      <c r="A11" s="14" t="n">
        <v>8</v>
      </c>
      <c r="B11" s="17"/>
      <c r="C11" s="17"/>
      <c r="D11" s="17"/>
      <c r="E11" s="17"/>
      <c r="F11" s="17"/>
      <c r="G11" s="17"/>
      <c r="H11" s="25"/>
      <c r="I11" s="25"/>
      <c r="J11" s="21" t="str">
        <f aca="false">IF(AND(ISNUMBER(E11),ISNUMBER(F11),ISNUMBER(G11)),E11*(F11+G11)/60,"")</f>
        <v/>
      </c>
      <c r="K11" s="21" t="str">
        <f aca="false">IF(ISNUMBER(J11),J11*12,"")</f>
        <v/>
      </c>
      <c r="L11" s="17"/>
      <c r="M11" s="17"/>
      <c r="N11" s="17"/>
    </row>
    <row r="12" customFormat="false" ht="24" hidden="false" customHeight="true" outlineLevel="0" collapsed="false">
      <c r="A12" s="14" t="n">
        <v>9</v>
      </c>
      <c r="B12" s="17"/>
      <c r="C12" s="17"/>
      <c r="D12" s="17"/>
      <c r="E12" s="17"/>
      <c r="F12" s="17"/>
      <c r="G12" s="17"/>
      <c r="H12" s="25"/>
      <c r="I12" s="25"/>
      <c r="J12" s="21" t="str">
        <f aca="false">IF(AND(ISNUMBER(E12),ISNUMBER(F12),ISNUMBER(G12)),E12*(F12+G12)/60,"")</f>
        <v/>
      </c>
      <c r="K12" s="21" t="str">
        <f aca="false">IF(ISNUMBER(J12),J12*12,"")</f>
        <v/>
      </c>
      <c r="L12" s="17"/>
      <c r="M12" s="17"/>
      <c r="N12" s="17"/>
    </row>
    <row r="13" customFormat="false" ht="24" hidden="false" customHeight="true" outlineLevel="0" collapsed="false">
      <c r="A13" s="14" t="n">
        <v>10</v>
      </c>
      <c r="B13" s="17"/>
      <c r="C13" s="17"/>
      <c r="D13" s="17"/>
      <c r="E13" s="17"/>
      <c r="F13" s="17"/>
      <c r="G13" s="17"/>
      <c r="H13" s="25"/>
      <c r="I13" s="25"/>
      <c r="J13" s="21" t="str">
        <f aca="false">IF(AND(ISNUMBER(E13),ISNUMBER(F13),ISNUMBER(G13)),E13*(F13+G13)/60,"")</f>
        <v/>
      </c>
      <c r="K13" s="21" t="str">
        <f aca="false">IF(ISNUMBER(J13),J13*12,"")</f>
        <v/>
      </c>
      <c r="L13" s="17"/>
      <c r="M13" s="17"/>
      <c r="N13" s="17"/>
    </row>
    <row r="14" customFormat="false" ht="24" hidden="false" customHeight="true" outlineLevel="0" collapsed="false">
      <c r="A14" s="14" t="n">
        <v>11</v>
      </c>
      <c r="B14" s="17"/>
      <c r="C14" s="17"/>
      <c r="D14" s="17"/>
      <c r="E14" s="17"/>
      <c r="F14" s="17"/>
      <c r="G14" s="17"/>
      <c r="H14" s="25"/>
      <c r="I14" s="25"/>
      <c r="J14" s="21" t="str">
        <f aca="false">IF(AND(ISNUMBER(E14),ISNUMBER(F14),ISNUMBER(G14)),E14*(F14+G14)/60,"")</f>
        <v/>
      </c>
      <c r="K14" s="21" t="str">
        <f aca="false">IF(ISNUMBER(J14),J14*12,"")</f>
        <v/>
      </c>
      <c r="L14" s="17"/>
      <c r="M14" s="17"/>
      <c r="N14" s="17"/>
    </row>
    <row r="15" customFormat="false" ht="24" hidden="false" customHeight="true" outlineLevel="0" collapsed="false">
      <c r="A15" s="14" t="n">
        <v>12</v>
      </c>
      <c r="B15" s="17"/>
      <c r="C15" s="17"/>
      <c r="D15" s="17"/>
      <c r="E15" s="17"/>
      <c r="F15" s="17"/>
      <c r="G15" s="17"/>
      <c r="H15" s="25"/>
      <c r="I15" s="25"/>
      <c r="J15" s="21" t="str">
        <f aca="false">IF(AND(ISNUMBER(E15),ISNUMBER(F15),ISNUMBER(G15)),E15*(F15+G15)/60,"")</f>
        <v/>
      </c>
      <c r="K15" s="21" t="str">
        <f aca="false">IF(ISNUMBER(J15),J15*12,"")</f>
        <v/>
      </c>
      <c r="L15" s="17"/>
      <c r="M15" s="17"/>
      <c r="N15" s="17"/>
    </row>
    <row r="16" customFormat="false" ht="24" hidden="false" customHeight="true" outlineLevel="0" collapsed="false">
      <c r="A16" s="14" t="n">
        <v>13</v>
      </c>
      <c r="B16" s="17"/>
      <c r="C16" s="17"/>
      <c r="D16" s="17"/>
      <c r="E16" s="17"/>
      <c r="F16" s="17"/>
      <c r="G16" s="17"/>
      <c r="H16" s="25"/>
      <c r="I16" s="25"/>
      <c r="J16" s="21" t="str">
        <f aca="false">IF(AND(ISNUMBER(E16),ISNUMBER(F16),ISNUMBER(G16)),E16*(F16+G16)/60,"")</f>
        <v/>
      </c>
      <c r="K16" s="21" t="str">
        <f aca="false">IF(ISNUMBER(J16),J16*12,"")</f>
        <v/>
      </c>
      <c r="L16" s="17"/>
      <c r="M16" s="17"/>
      <c r="N16" s="17"/>
    </row>
    <row r="17" customFormat="false" ht="24" hidden="false" customHeight="true" outlineLevel="0" collapsed="false">
      <c r="A17" s="14" t="n">
        <v>14</v>
      </c>
      <c r="B17" s="17"/>
      <c r="C17" s="17"/>
      <c r="D17" s="17"/>
      <c r="E17" s="17"/>
      <c r="F17" s="17"/>
      <c r="G17" s="17"/>
      <c r="H17" s="25"/>
      <c r="I17" s="25"/>
      <c r="J17" s="21" t="str">
        <f aca="false">IF(AND(ISNUMBER(E17),ISNUMBER(F17),ISNUMBER(G17)),E17*(F17+G17)/60,"")</f>
        <v/>
      </c>
      <c r="K17" s="21" t="str">
        <f aca="false">IF(ISNUMBER(J17),J17*12,"")</f>
        <v/>
      </c>
      <c r="L17" s="17"/>
      <c r="M17" s="17"/>
      <c r="N17" s="17"/>
    </row>
    <row r="18" customFormat="false" ht="24" hidden="false" customHeight="true" outlineLevel="0" collapsed="false">
      <c r="A18" s="14" t="n">
        <v>15</v>
      </c>
      <c r="B18" s="17"/>
      <c r="C18" s="17"/>
      <c r="D18" s="17"/>
      <c r="E18" s="17"/>
      <c r="F18" s="17"/>
      <c r="G18" s="17"/>
      <c r="H18" s="25"/>
      <c r="I18" s="25"/>
      <c r="J18" s="21" t="str">
        <f aca="false">IF(AND(ISNUMBER(E18),ISNUMBER(F18),ISNUMBER(G18)),E18*(F18+G18)/60,"")</f>
        <v/>
      </c>
      <c r="K18" s="21" t="str">
        <f aca="false">IF(ISNUMBER(J18),J18*12,"")</f>
        <v/>
      </c>
      <c r="L18" s="17"/>
      <c r="M18" s="17"/>
      <c r="N18" s="17"/>
    </row>
    <row r="19" customFormat="false" ht="24" hidden="false" customHeight="true" outlineLevel="0" collapsed="false">
      <c r="A19" s="14" t="n">
        <v>16</v>
      </c>
      <c r="B19" s="17"/>
      <c r="C19" s="17"/>
      <c r="D19" s="17"/>
      <c r="E19" s="17"/>
      <c r="F19" s="17"/>
      <c r="G19" s="17"/>
      <c r="H19" s="25"/>
      <c r="I19" s="25"/>
      <c r="J19" s="21" t="str">
        <f aca="false">IF(AND(ISNUMBER(E19),ISNUMBER(F19),ISNUMBER(G19)),E19*(F19+G19)/60,"")</f>
        <v/>
      </c>
      <c r="K19" s="21" t="str">
        <f aca="false">IF(ISNUMBER(J19),J19*12,"")</f>
        <v/>
      </c>
      <c r="L19" s="17"/>
      <c r="M19" s="17"/>
      <c r="N19" s="17"/>
    </row>
    <row r="20" customFormat="false" ht="24" hidden="false" customHeight="true" outlineLevel="0" collapsed="false">
      <c r="A20" s="14" t="n">
        <v>17</v>
      </c>
      <c r="B20" s="17"/>
      <c r="C20" s="17"/>
      <c r="D20" s="17"/>
      <c r="E20" s="17"/>
      <c r="F20" s="17"/>
      <c r="G20" s="17"/>
      <c r="H20" s="25"/>
      <c r="I20" s="25"/>
      <c r="J20" s="21" t="str">
        <f aca="false">IF(AND(ISNUMBER(E20),ISNUMBER(F20),ISNUMBER(G20)),E20*(F20+G20)/60,"")</f>
        <v/>
      </c>
      <c r="K20" s="21" t="str">
        <f aca="false">IF(ISNUMBER(J20),J20*12,"")</f>
        <v/>
      </c>
      <c r="L20" s="17"/>
      <c r="M20" s="17"/>
      <c r="N20" s="17"/>
    </row>
    <row r="21" customFormat="false" ht="24" hidden="false" customHeight="true" outlineLevel="0" collapsed="false">
      <c r="A21" s="14" t="n">
        <v>18</v>
      </c>
      <c r="B21" s="17"/>
      <c r="C21" s="17"/>
      <c r="D21" s="17"/>
      <c r="E21" s="17"/>
      <c r="F21" s="17"/>
      <c r="G21" s="17"/>
      <c r="H21" s="25"/>
      <c r="I21" s="25"/>
      <c r="J21" s="21" t="str">
        <f aca="false">IF(AND(ISNUMBER(E21),ISNUMBER(F21),ISNUMBER(G21)),E21*(F21+G21)/60,"")</f>
        <v/>
      </c>
      <c r="K21" s="21" t="str">
        <f aca="false">IF(ISNUMBER(J21),J21*12,"")</f>
        <v/>
      </c>
      <c r="L21" s="17"/>
      <c r="M21" s="17"/>
      <c r="N21" s="17"/>
    </row>
    <row r="22" customFormat="false" ht="24" hidden="false" customHeight="true" outlineLevel="0" collapsed="false">
      <c r="A22" s="14" t="n">
        <v>19</v>
      </c>
      <c r="B22" s="17"/>
      <c r="C22" s="17"/>
      <c r="D22" s="17"/>
      <c r="E22" s="17"/>
      <c r="F22" s="17"/>
      <c r="G22" s="17"/>
      <c r="H22" s="25"/>
      <c r="I22" s="25"/>
      <c r="J22" s="21" t="str">
        <f aca="false">IF(AND(ISNUMBER(E22),ISNUMBER(F22),ISNUMBER(G22)),E22*(F22+G22)/60,"")</f>
        <v/>
      </c>
      <c r="K22" s="21" t="str">
        <f aca="false">IF(ISNUMBER(J22),J22*12,"")</f>
        <v/>
      </c>
      <c r="L22" s="17"/>
      <c r="M22" s="17"/>
      <c r="N22" s="17"/>
    </row>
    <row r="23" customFormat="false" ht="24" hidden="false" customHeight="true" outlineLevel="0" collapsed="false">
      <c r="A23" s="14" t="n">
        <v>20</v>
      </c>
      <c r="B23" s="17"/>
      <c r="C23" s="17"/>
      <c r="D23" s="17"/>
      <c r="E23" s="17"/>
      <c r="F23" s="17"/>
      <c r="G23" s="17"/>
      <c r="H23" s="25"/>
      <c r="I23" s="25"/>
      <c r="J23" s="21" t="str">
        <f aca="false">IF(AND(ISNUMBER(E23),ISNUMBER(F23),ISNUMBER(G23)),E23*(F23+G23)/60,"")</f>
        <v/>
      </c>
      <c r="K23" s="21" t="str">
        <f aca="false">IF(ISNUMBER(J23),J23*12,"")</f>
        <v/>
      </c>
      <c r="L23" s="17"/>
      <c r="M23" s="17"/>
      <c r="N23" s="17"/>
    </row>
    <row r="24" customFormat="false" ht="24" hidden="false" customHeight="true" outlineLevel="0" collapsed="false">
      <c r="A24" s="14" t="n">
        <v>21</v>
      </c>
      <c r="B24" s="17"/>
      <c r="C24" s="17"/>
      <c r="D24" s="17"/>
      <c r="E24" s="17"/>
      <c r="F24" s="17"/>
      <c r="G24" s="17"/>
      <c r="H24" s="25"/>
      <c r="I24" s="25"/>
      <c r="J24" s="21" t="str">
        <f aca="false">IF(AND(ISNUMBER(E24),ISNUMBER(F24),ISNUMBER(G24)),E24*(F24+G24)/60,"")</f>
        <v/>
      </c>
      <c r="K24" s="21" t="str">
        <f aca="false">IF(ISNUMBER(J24),J24*12,"")</f>
        <v/>
      </c>
      <c r="L24" s="17"/>
      <c r="M24" s="17"/>
      <c r="N24" s="17"/>
    </row>
    <row r="25" customFormat="false" ht="24" hidden="false" customHeight="true" outlineLevel="0" collapsed="false">
      <c r="A25" s="14" t="n">
        <v>22</v>
      </c>
      <c r="B25" s="17"/>
      <c r="C25" s="17"/>
      <c r="D25" s="17"/>
      <c r="E25" s="17"/>
      <c r="F25" s="17"/>
      <c r="G25" s="17"/>
      <c r="H25" s="25"/>
      <c r="I25" s="25"/>
      <c r="J25" s="21" t="str">
        <f aca="false">IF(AND(ISNUMBER(E25),ISNUMBER(F25),ISNUMBER(G25)),E25*(F25+G25)/60,"")</f>
        <v/>
      </c>
      <c r="K25" s="21" t="str">
        <f aca="false">IF(ISNUMBER(J25),J25*12,"")</f>
        <v/>
      </c>
      <c r="L25" s="17"/>
      <c r="M25" s="17"/>
      <c r="N25" s="17"/>
    </row>
    <row r="26" customFormat="false" ht="24" hidden="false" customHeight="true" outlineLevel="0" collapsed="false">
      <c r="A26" s="14" t="n">
        <v>23</v>
      </c>
      <c r="B26" s="17"/>
      <c r="C26" s="17"/>
      <c r="D26" s="17"/>
      <c r="E26" s="17"/>
      <c r="F26" s="17"/>
      <c r="G26" s="17"/>
      <c r="H26" s="25"/>
      <c r="I26" s="25"/>
      <c r="J26" s="21" t="str">
        <f aca="false">IF(AND(ISNUMBER(E26),ISNUMBER(F26),ISNUMBER(G26)),E26*(F26+G26)/60,"")</f>
        <v/>
      </c>
      <c r="K26" s="21" t="str">
        <f aca="false">IF(ISNUMBER(J26),J26*12,"")</f>
        <v/>
      </c>
      <c r="L26" s="17"/>
      <c r="M26" s="17"/>
      <c r="N26" s="17"/>
    </row>
    <row r="27" customFormat="false" ht="24" hidden="false" customHeight="true" outlineLevel="0" collapsed="false">
      <c r="A27" s="14" t="n">
        <v>24</v>
      </c>
      <c r="B27" s="17"/>
      <c r="C27" s="17"/>
      <c r="D27" s="17"/>
      <c r="E27" s="17"/>
      <c r="F27" s="17"/>
      <c r="G27" s="17"/>
      <c r="H27" s="25"/>
      <c r="I27" s="25"/>
      <c r="J27" s="21" t="str">
        <f aca="false">IF(AND(ISNUMBER(E27),ISNUMBER(F27),ISNUMBER(G27)),E27*(F27+G27)/60,"")</f>
        <v/>
      </c>
      <c r="K27" s="21" t="str">
        <f aca="false">IF(ISNUMBER(J27),J27*12,"")</f>
        <v/>
      </c>
      <c r="L27" s="17"/>
      <c r="M27" s="17"/>
      <c r="N27" s="17"/>
    </row>
    <row r="28" customFormat="false" ht="24" hidden="false" customHeight="true" outlineLevel="0" collapsed="false">
      <c r="A28" s="14" t="n">
        <v>25</v>
      </c>
      <c r="B28" s="17"/>
      <c r="C28" s="17"/>
      <c r="D28" s="17"/>
      <c r="E28" s="17"/>
      <c r="F28" s="17"/>
      <c r="G28" s="17"/>
      <c r="H28" s="25"/>
      <c r="I28" s="25"/>
      <c r="J28" s="21" t="str">
        <f aca="false">IF(AND(ISNUMBER(E28),ISNUMBER(F28),ISNUMBER(G28)),E28*(F28+G28)/60,"")</f>
        <v/>
      </c>
      <c r="K28" s="21" t="str">
        <f aca="false">IF(ISNUMBER(J28),J28*12,"")</f>
        <v/>
      </c>
      <c r="L28" s="17"/>
      <c r="M28" s="17"/>
      <c r="N28" s="17"/>
    </row>
    <row r="29" customFormat="false" ht="24" hidden="false" customHeight="true" outlineLevel="0" collapsed="false">
      <c r="A29" s="14" t="n">
        <v>26</v>
      </c>
      <c r="B29" s="17"/>
      <c r="C29" s="17"/>
      <c r="D29" s="17"/>
      <c r="E29" s="17"/>
      <c r="F29" s="17"/>
      <c r="G29" s="17"/>
      <c r="H29" s="25"/>
      <c r="I29" s="25"/>
      <c r="J29" s="21" t="str">
        <f aca="false">IF(AND(ISNUMBER(E29),ISNUMBER(F29),ISNUMBER(G29)),E29*(F29+G29)/60,"")</f>
        <v/>
      </c>
      <c r="K29" s="21" t="str">
        <f aca="false">IF(ISNUMBER(J29),J29*12,"")</f>
        <v/>
      </c>
      <c r="L29" s="17"/>
      <c r="M29" s="17"/>
      <c r="N29" s="17"/>
    </row>
    <row r="30" customFormat="false" ht="24" hidden="false" customHeight="true" outlineLevel="0" collapsed="false">
      <c r="A30" s="14" t="n">
        <v>27</v>
      </c>
      <c r="B30" s="17"/>
      <c r="C30" s="17"/>
      <c r="D30" s="17"/>
      <c r="E30" s="17"/>
      <c r="F30" s="17"/>
      <c r="G30" s="17"/>
      <c r="H30" s="25"/>
      <c r="I30" s="25"/>
      <c r="J30" s="21" t="str">
        <f aca="false">IF(AND(ISNUMBER(E30),ISNUMBER(F30),ISNUMBER(G30)),E30*(F30+G30)/60,"")</f>
        <v/>
      </c>
      <c r="K30" s="21" t="str">
        <f aca="false">IF(ISNUMBER(J30),J30*12,"")</f>
        <v/>
      </c>
      <c r="L30" s="17"/>
      <c r="M30" s="17"/>
      <c r="N30" s="17"/>
    </row>
    <row r="31" customFormat="false" ht="24" hidden="false" customHeight="true" outlineLevel="0" collapsed="false">
      <c r="A31" s="14" t="n">
        <v>28</v>
      </c>
      <c r="B31" s="17"/>
      <c r="C31" s="17"/>
      <c r="D31" s="17"/>
      <c r="E31" s="17"/>
      <c r="F31" s="17"/>
      <c r="G31" s="17"/>
      <c r="H31" s="25"/>
      <c r="I31" s="25"/>
      <c r="J31" s="21" t="str">
        <f aca="false">IF(AND(ISNUMBER(E31),ISNUMBER(F31),ISNUMBER(G31)),E31*(F31+G31)/60,"")</f>
        <v/>
      </c>
      <c r="K31" s="21" t="str">
        <f aca="false">IF(ISNUMBER(J31),J31*12,"")</f>
        <v/>
      </c>
      <c r="L31" s="17"/>
      <c r="M31" s="17"/>
      <c r="N31" s="17"/>
    </row>
    <row r="32" customFormat="false" ht="24" hidden="false" customHeight="true" outlineLevel="0" collapsed="false">
      <c r="A32" s="14" t="n">
        <v>29</v>
      </c>
      <c r="B32" s="17"/>
      <c r="C32" s="17"/>
      <c r="D32" s="17"/>
      <c r="E32" s="17"/>
      <c r="F32" s="17"/>
      <c r="G32" s="17"/>
      <c r="H32" s="25"/>
      <c r="I32" s="25"/>
      <c r="J32" s="21" t="str">
        <f aca="false">IF(AND(ISNUMBER(E32),ISNUMBER(F32),ISNUMBER(G32)),E32*(F32+G32)/60,"")</f>
        <v/>
      </c>
      <c r="K32" s="21" t="str">
        <f aca="false">IF(ISNUMBER(J32),J32*12,"")</f>
        <v/>
      </c>
      <c r="L32" s="17"/>
      <c r="M32" s="17"/>
      <c r="N32" s="17"/>
    </row>
    <row r="33" customFormat="false" ht="24" hidden="false" customHeight="true" outlineLevel="0" collapsed="false">
      <c r="A33" s="14" t="n">
        <v>30</v>
      </c>
      <c r="B33" s="17"/>
      <c r="C33" s="17"/>
      <c r="D33" s="17"/>
      <c r="E33" s="17"/>
      <c r="F33" s="17"/>
      <c r="G33" s="17"/>
      <c r="H33" s="25"/>
      <c r="I33" s="25"/>
      <c r="J33" s="21" t="str">
        <f aca="false">IF(AND(ISNUMBER(E33),ISNUMBER(F33),ISNUMBER(G33)),E33*(F33+G33)/60,"")</f>
        <v/>
      </c>
      <c r="K33" s="21" t="str">
        <f aca="false">IF(ISNUMBER(J33),J33*12,"")</f>
        <v/>
      </c>
      <c r="L33" s="17"/>
      <c r="M33" s="17"/>
      <c r="N33" s="17"/>
    </row>
    <row r="34" customFormat="false" ht="24" hidden="false" customHeight="true" outlineLevel="0" collapsed="false">
      <c r="A34" s="14" t="n">
        <v>31</v>
      </c>
      <c r="B34" s="17"/>
      <c r="C34" s="17"/>
      <c r="D34" s="17"/>
      <c r="E34" s="17"/>
      <c r="F34" s="17"/>
      <c r="G34" s="17"/>
      <c r="H34" s="25"/>
      <c r="I34" s="25"/>
      <c r="J34" s="21" t="str">
        <f aca="false">IF(AND(ISNUMBER(E34),ISNUMBER(F34),ISNUMBER(G34)),E34*(F34+G34)/60,"")</f>
        <v/>
      </c>
      <c r="K34" s="21" t="str">
        <f aca="false">IF(ISNUMBER(J34),J34*12,"")</f>
        <v/>
      </c>
      <c r="L34" s="17"/>
      <c r="M34" s="17"/>
      <c r="N34" s="17"/>
    </row>
    <row r="35" customFormat="false" ht="24" hidden="false" customHeight="true" outlineLevel="0" collapsed="false">
      <c r="A35" s="14" t="n">
        <v>32</v>
      </c>
      <c r="B35" s="17"/>
      <c r="C35" s="17"/>
      <c r="D35" s="17"/>
      <c r="E35" s="17"/>
      <c r="F35" s="17"/>
      <c r="G35" s="17"/>
      <c r="H35" s="25"/>
      <c r="I35" s="25"/>
      <c r="J35" s="21" t="str">
        <f aca="false">IF(AND(ISNUMBER(E35),ISNUMBER(F35),ISNUMBER(G35)),E35*(F35+G35)/60,"")</f>
        <v/>
      </c>
      <c r="K35" s="21" t="str">
        <f aca="false">IF(ISNUMBER(J35),J35*12,"")</f>
        <v/>
      </c>
      <c r="L35" s="17"/>
      <c r="M35" s="17"/>
      <c r="N35" s="17"/>
    </row>
    <row r="36" customFormat="false" ht="24" hidden="false" customHeight="true" outlineLevel="0" collapsed="false">
      <c r="A36" s="14" t="n">
        <v>33</v>
      </c>
      <c r="B36" s="17"/>
      <c r="C36" s="17"/>
      <c r="D36" s="17"/>
      <c r="E36" s="17"/>
      <c r="F36" s="17"/>
      <c r="G36" s="17"/>
      <c r="H36" s="25"/>
      <c r="I36" s="25"/>
      <c r="J36" s="21" t="str">
        <f aca="false">IF(AND(ISNUMBER(E36),ISNUMBER(F36),ISNUMBER(G36)),E36*(F36+G36)/60,"")</f>
        <v/>
      </c>
      <c r="K36" s="21" t="str">
        <f aca="false">IF(ISNUMBER(J36),J36*12,"")</f>
        <v/>
      </c>
      <c r="L36" s="17"/>
      <c r="M36" s="17"/>
      <c r="N36" s="17"/>
    </row>
    <row r="37" customFormat="false" ht="24" hidden="false" customHeight="true" outlineLevel="0" collapsed="false">
      <c r="A37" s="14" t="n">
        <v>34</v>
      </c>
      <c r="B37" s="17"/>
      <c r="C37" s="17"/>
      <c r="D37" s="17"/>
      <c r="E37" s="17"/>
      <c r="F37" s="17"/>
      <c r="G37" s="17"/>
      <c r="H37" s="25"/>
      <c r="I37" s="25"/>
      <c r="J37" s="21" t="str">
        <f aca="false">IF(AND(ISNUMBER(E37),ISNUMBER(F37),ISNUMBER(G37)),E37*(F37+G37)/60,"")</f>
        <v/>
      </c>
      <c r="K37" s="21" t="str">
        <f aca="false">IF(ISNUMBER(J37),J37*12,"")</f>
        <v/>
      </c>
      <c r="L37" s="17"/>
      <c r="M37" s="17"/>
      <c r="N37" s="17"/>
    </row>
    <row r="38" customFormat="false" ht="24" hidden="false" customHeight="true" outlineLevel="0" collapsed="false">
      <c r="A38" s="14" t="n">
        <v>35</v>
      </c>
      <c r="B38" s="17"/>
      <c r="C38" s="17"/>
      <c r="D38" s="17"/>
      <c r="E38" s="17"/>
      <c r="F38" s="17"/>
      <c r="G38" s="17"/>
      <c r="H38" s="25"/>
      <c r="I38" s="25"/>
      <c r="J38" s="21" t="str">
        <f aca="false">IF(AND(ISNUMBER(E38),ISNUMBER(F38),ISNUMBER(G38)),E38*(F38+G38)/60,"")</f>
        <v/>
      </c>
      <c r="K38" s="21" t="str">
        <f aca="false">IF(ISNUMBER(J38),J38*12,"")</f>
        <v/>
      </c>
      <c r="L38" s="17"/>
      <c r="M38" s="17"/>
      <c r="N38" s="17"/>
    </row>
    <row r="39" customFormat="false" ht="24" hidden="false" customHeight="true" outlineLevel="0" collapsed="false">
      <c r="A39" s="14" t="n">
        <v>36</v>
      </c>
      <c r="B39" s="17"/>
      <c r="C39" s="17"/>
      <c r="D39" s="17"/>
      <c r="E39" s="17"/>
      <c r="F39" s="17"/>
      <c r="G39" s="17"/>
      <c r="H39" s="25"/>
      <c r="I39" s="25"/>
      <c r="J39" s="21" t="str">
        <f aca="false">IF(AND(ISNUMBER(E39),ISNUMBER(F39),ISNUMBER(G39)),E39*(F39+G39)/60,"")</f>
        <v/>
      </c>
      <c r="K39" s="21" t="str">
        <f aca="false">IF(ISNUMBER(J39),J39*12,"")</f>
        <v/>
      </c>
      <c r="L39" s="17"/>
      <c r="M39" s="17"/>
      <c r="N39" s="17"/>
    </row>
    <row r="40" customFormat="false" ht="24" hidden="false" customHeight="true" outlineLevel="0" collapsed="false">
      <c r="A40" s="14" t="n">
        <v>37</v>
      </c>
      <c r="B40" s="17"/>
      <c r="C40" s="17"/>
      <c r="D40" s="17"/>
      <c r="E40" s="17"/>
      <c r="F40" s="17"/>
      <c r="G40" s="17"/>
      <c r="H40" s="25"/>
      <c r="I40" s="25"/>
      <c r="J40" s="21" t="str">
        <f aca="false">IF(AND(ISNUMBER(E40),ISNUMBER(F40),ISNUMBER(G40)),E40*(F40+G40)/60,"")</f>
        <v/>
      </c>
      <c r="K40" s="21" t="str">
        <f aca="false">IF(ISNUMBER(J40),J40*12,"")</f>
        <v/>
      </c>
      <c r="L40" s="17"/>
      <c r="M40" s="17"/>
      <c r="N40" s="17"/>
    </row>
    <row r="41" customFormat="false" ht="24" hidden="false" customHeight="true" outlineLevel="0" collapsed="false">
      <c r="A41" s="14" t="n">
        <v>38</v>
      </c>
      <c r="B41" s="17"/>
      <c r="C41" s="17"/>
      <c r="D41" s="17"/>
      <c r="E41" s="17"/>
      <c r="F41" s="17"/>
      <c r="G41" s="17"/>
      <c r="H41" s="25"/>
      <c r="I41" s="25"/>
      <c r="J41" s="21" t="str">
        <f aca="false">IF(AND(ISNUMBER(E41),ISNUMBER(F41),ISNUMBER(G41)),E41*(F41+G41)/60,"")</f>
        <v/>
      </c>
      <c r="K41" s="21" t="str">
        <f aca="false">IF(ISNUMBER(J41),J41*12,"")</f>
        <v/>
      </c>
      <c r="L41" s="17"/>
      <c r="M41" s="17"/>
      <c r="N41" s="17"/>
    </row>
    <row r="42" customFormat="false" ht="24" hidden="false" customHeight="true" outlineLevel="0" collapsed="false">
      <c r="A42" s="14" t="n">
        <v>39</v>
      </c>
      <c r="B42" s="17"/>
      <c r="C42" s="17"/>
      <c r="D42" s="17"/>
      <c r="E42" s="17"/>
      <c r="F42" s="17"/>
      <c r="G42" s="17"/>
      <c r="H42" s="25"/>
      <c r="I42" s="25"/>
      <c r="J42" s="21" t="str">
        <f aca="false">IF(AND(ISNUMBER(E42),ISNUMBER(F42),ISNUMBER(G42)),E42*(F42+G42)/60,"")</f>
        <v/>
      </c>
      <c r="K42" s="21" t="str">
        <f aca="false">IF(ISNUMBER(J42),J42*12,"")</f>
        <v/>
      </c>
      <c r="L42" s="17"/>
      <c r="M42" s="17"/>
      <c r="N42" s="17"/>
    </row>
    <row r="43" customFormat="false" ht="24" hidden="false" customHeight="true" outlineLevel="0" collapsed="false">
      <c r="A43" s="14" t="n">
        <v>40</v>
      </c>
      <c r="B43" s="17"/>
      <c r="C43" s="17"/>
      <c r="D43" s="17"/>
      <c r="E43" s="17"/>
      <c r="F43" s="17"/>
      <c r="G43" s="17"/>
      <c r="H43" s="25"/>
      <c r="I43" s="25"/>
      <c r="J43" s="21" t="str">
        <f aca="false">IF(AND(ISNUMBER(E43),ISNUMBER(F43),ISNUMBER(G43)),E43*(F43+G43)/60,"")</f>
        <v/>
      </c>
      <c r="K43" s="21" t="str">
        <f aca="false">IF(ISNUMBER(J43),J43*12,"")</f>
        <v/>
      </c>
      <c r="L43" s="17"/>
      <c r="M43" s="17"/>
      <c r="N43" s="17"/>
    </row>
    <row r="44" customFormat="false" ht="15" hidden="false" customHeight="true" outlineLevel="0" collapsed="false">
      <c r="I44" s="23" t="s">
        <v>136</v>
      </c>
      <c r="J44" s="24" t="n">
        <f aca="false">SUM(J4:J43)</f>
        <v>0</v>
      </c>
      <c r="K44" s="24" t="n">
        <f aca="false">SUM(K4:K43)</f>
        <v>0</v>
      </c>
    </row>
    <row r="46" customFormat="false" ht="15" hidden="false" customHeight="true" outlineLevel="0" collapsed="false">
      <c r="B46" s="12" t="s">
        <v>147</v>
      </c>
      <c r="C46" s="12"/>
      <c r="D46" s="12"/>
      <c r="E46" s="12"/>
      <c r="F46" s="12"/>
      <c r="G46" s="12"/>
      <c r="H46" s="12"/>
      <c r="I46" s="12"/>
    </row>
  </sheetData>
  <mergeCells count="3">
    <mergeCell ref="A1:N1"/>
    <mergeCell ref="A2:N2"/>
    <mergeCell ref="B46:I46"/>
  </mergeCells>
  <dataValidations count="4">
    <dataValidation allowBlank="true" errorStyle="stop" operator="between" showDropDown="false" showErrorMessage="false" showInputMessage="false" sqref="B4:B43" type="list">
      <formula1>"Architecture,Resiliency,Lifecycle,Capacity Planning,Compliance,Security,Observability,Finance / Chargeback,Zephyr Integration,Incident Mgmt (iO)"</formula1>
      <formula2>0</formula2>
    </dataValidation>
    <dataValidation allowBlank="true" errorStyle="stop" operator="between" showDropDown="false" showErrorMessage="false" showInputMessage="false" sqref="D4:D43" type="list">
      <formula1>"Sev1,Sev2,Sev3,Sev4"</formula1>
      <formula2>0</formula2>
    </dataValidation>
    <dataValidation allowBlank="true" errorStyle="stop" operator="between" showDropDown="false" showErrorMessage="false" showInputMessage="false" sqref="L4:L43" type="list">
      <formula1>"Yes,No,Partial"</formula1>
      <formula2>0</formula2>
    </dataValidation>
    <dataValidation allowBlank="true" errorStyle="stop" operator="between" showDropDown="false" showErrorMessage="false" showInputMessage="false" sqref="M4:M4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5" min="4" style="1" width="15"/>
    <col collapsed="false" customWidth="true" hidden="false" outlineLevel="0" max="6" min="6" style="1" width="11"/>
    <col collapsed="false" customWidth="true" hidden="false" outlineLevel="0" max="7" min="7" style="1" width="8"/>
  </cols>
  <sheetData>
    <row r="1" customFormat="false" ht="30" hidden="false" customHeight="true" outlineLevel="0" collapsed="false">
      <c r="A1" s="2" t="s">
        <v>148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149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13" t="s">
        <v>29</v>
      </c>
      <c r="B3" s="13" t="s">
        <v>150</v>
      </c>
      <c r="C3" s="13" t="s">
        <v>151</v>
      </c>
      <c r="D3" s="13" t="s">
        <v>152</v>
      </c>
      <c r="E3" s="13" t="s">
        <v>153</v>
      </c>
      <c r="F3" s="13" t="s">
        <v>154</v>
      </c>
      <c r="G3" s="13" t="s">
        <v>155</v>
      </c>
    </row>
    <row r="4" customFormat="false" ht="24" hidden="false" customHeight="true" outlineLevel="0" collapsed="false">
      <c r="A4" s="15" t="s">
        <v>37</v>
      </c>
      <c r="B4" s="21" t="n">
        <f aca="false">SUMIFS('② Manual Task Log'!$J$4:$J$63,'② Manual Task Log'!$B$4:$B$63,$A4)</f>
        <v>0</v>
      </c>
      <c r="C4" s="21" t="n">
        <f aca="false">SUMIFS('③ Incident Time Log'!$J$4:$J$43,'③ Incident Time Log'!$B$4:$B$43,$A4)</f>
        <v>0</v>
      </c>
      <c r="D4" s="21" t="n">
        <f aca="false">B4+C4</f>
        <v>0</v>
      </c>
      <c r="E4" s="21" t="n">
        <f aca="false">D4*12</f>
        <v>0</v>
      </c>
      <c r="F4" s="26" t="n">
        <f aca="false">IF($D$14=0,0,D4/$D$14)</f>
        <v>0</v>
      </c>
      <c r="G4" s="27" t="str">
        <f aca="false">IF(D4=0,"",RANK(D4,$D$4:$D$13))</f>
        <v/>
      </c>
    </row>
    <row r="5" customFormat="false" ht="24" hidden="false" customHeight="true" outlineLevel="0" collapsed="false">
      <c r="A5" s="15" t="s">
        <v>41</v>
      </c>
      <c r="B5" s="21" t="n">
        <f aca="false">SUMIFS('② Manual Task Log'!$J$4:$J$63,'② Manual Task Log'!$B$4:$B$63,$A5)</f>
        <v>0</v>
      </c>
      <c r="C5" s="21" t="n">
        <f aca="false">SUMIFS('③ Incident Time Log'!$J$4:$J$43,'③ Incident Time Log'!$B$4:$B$43,$A5)</f>
        <v>0</v>
      </c>
      <c r="D5" s="21" t="n">
        <f aca="false">B5+C5</f>
        <v>0</v>
      </c>
      <c r="E5" s="21" t="n">
        <f aca="false">D5*12</f>
        <v>0</v>
      </c>
      <c r="F5" s="26" t="n">
        <f aca="false">IF($D$14=0,0,D5/$D$14)</f>
        <v>0</v>
      </c>
      <c r="G5" s="27" t="str">
        <f aca="false">IF(D5=0,"",RANK(D5,$D$4:$D$13))</f>
        <v/>
      </c>
    </row>
    <row r="6" customFormat="false" ht="24" hidden="false" customHeight="true" outlineLevel="0" collapsed="false">
      <c r="A6" s="15" t="s">
        <v>45</v>
      </c>
      <c r="B6" s="21" t="n">
        <f aca="false">SUMIFS('② Manual Task Log'!$J$4:$J$63,'② Manual Task Log'!$B$4:$B$63,$A6)</f>
        <v>51.0833333333333</v>
      </c>
      <c r="C6" s="21" t="n">
        <f aca="false">SUMIFS('③ Incident Time Log'!$J$4:$J$43,'③ Incident Time Log'!$B$4:$B$43,$A6)</f>
        <v>0</v>
      </c>
      <c r="D6" s="21" t="n">
        <f aca="false">B6+C6</f>
        <v>51.0833333333333</v>
      </c>
      <c r="E6" s="21" t="n">
        <f aca="false">D6*12</f>
        <v>613</v>
      </c>
      <c r="F6" s="26" t="n">
        <f aca="false">IF($D$14=0,0,D6/$D$14)</f>
        <v>1</v>
      </c>
      <c r="G6" s="27" t="n">
        <f aca="false">IF(D6=0,"",RANK(D6,$D$4:$D$13))</f>
        <v>1</v>
      </c>
    </row>
    <row r="7" customFormat="false" ht="24" hidden="false" customHeight="true" outlineLevel="0" collapsed="false">
      <c r="A7" s="15" t="s">
        <v>52</v>
      </c>
      <c r="B7" s="21" t="n">
        <f aca="false">SUMIFS('② Manual Task Log'!$J$4:$J$63,'② Manual Task Log'!$B$4:$B$63,$A7)</f>
        <v>0</v>
      </c>
      <c r="C7" s="21" t="n">
        <f aca="false">SUMIFS('③ Incident Time Log'!$J$4:$J$43,'③ Incident Time Log'!$B$4:$B$43,$A7)</f>
        <v>0</v>
      </c>
      <c r="D7" s="21" t="n">
        <f aca="false">B7+C7</f>
        <v>0</v>
      </c>
      <c r="E7" s="21" t="n">
        <f aca="false">D7*12</f>
        <v>0</v>
      </c>
      <c r="F7" s="26" t="n">
        <f aca="false">IF($D$14=0,0,D7/$D$14)</f>
        <v>0</v>
      </c>
      <c r="G7" s="27" t="str">
        <f aca="false">IF(D7=0,"",RANK(D7,$D$4:$D$13))</f>
        <v/>
      </c>
    </row>
    <row r="8" customFormat="false" ht="24" hidden="false" customHeight="true" outlineLevel="0" collapsed="false">
      <c r="A8" s="15" t="s">
        <v>56</v>
      </c>
      <c r="B8" s="21" t="n">
        <f aca="false">SUMIFS('② Manual Task Log'!$J$4:$J$63,'② Manual Task Log'!$B$4:$B$63,$A8)</f>
        <v>0</v>
      </c>
      <c r="C8" s="21" t="n">
        <f aca="false">SUMIFS('③ Incident Time Log'!$J$4:$J$43,'③ Incident Time Log'!$B$4:$B$43,$A8)</f>
        <v>0</v>
      </c>
      <c r="D8" s="21" t="n">
        <f aca="false">B8+C8</f>
        <v>0</v>
      </c>
      <c r="E8" s="21" t="n">
        <f aca="false">D8*12</f>
        <v>0</v>
      </c>
      <c r="F8" s="26" t="n">
        <f aca="false">IF($D$14=0,0,D8/$D$14)</f>
        <v>0</v>
      </c>
      <c r="G8" s="27" t="str">
        <f aca="false">IF(D8=0,"",RANK(D8,$D$4:$D$13))</f>
        <v/>
      </c>
    </row>
    <row r="9" customFormat="false" ht="24" hidden="false" customHeight="true" outlineLevel="0" collapsed="false">
      <c r="A9" s="15" t="s">
        <v>66</v>
      </c>
      <c r="B9" s="21" t="n">
        <f aca="false">SUMIFS('② Manual Task Log'!$J$4:$J$63,'② Manual Task Log'!$B$4:$B$63,$A9)</f>
        <v>0</v>
      </c>
      <c r="C9" s="21" t="n">
        <f aca="false">SUMIFS('③ Incident Time Log'!$J$4:$J$43,'③ Incident Time Log'!$B$4:$B$43,$A9)</f>
        <v>0</v>
      </c>
      <c r="D9" s="21" t="n">
        <f aca="false">B9+C9</f>
        <v>0</v>
      </c>
      <c r="E9" s="21" t="n">
        <f aca="false">D9*12</f>
        <v>0</v>
      </c>
      <c r="F9" s="26" t="n">
        <f aca="false">IF($D$14=0,0,D9/$D$14)</f>
        <v>0</v>
      </c>
      <c r="G9" s="27" t="str">
        <f aca="false">IF(D9=0,"",RANK(D9,$D$4:$D$13))</f>
        <v/>
      </c>
    </row>
    <row r="10" customFormat="false" ht="24" hidden="false" customHeight="true" outlineLevel="0" collapsed="false">
      <c r="A10" s="15" t="s">
        <v>71</v>
      </c>
      <c r="B10" s="21" t="n">
        <f aca="false">SUMIFS('② Manual Task Log'!$J$4:$J$63,'② Manual Task Log'!$B$4:$B$63,$A10)</f>
        <v>0</v>
      </c>
      <c r="C10" s="21" t="n">
        <f aca="false">SUMIFS('③ Incident Time Log'!$J$4:$J$43,'③ Incident Time Log'!$B$4:$B$43,$A10)</f>
        <v>0</v>
      </c>
      <c r="D10" s="21" t="n">
        <f aca="false">B10+C10</f>
        <v>0</v>
      </c>
      <c r="E10" s="21" t="n">
        <f aca="false">D10*12</f>
        <v>0</v>
      </c>
      <c r="F10" s="26" t="n">
        <f aca="false">IF($D$14=0,0,D10/$D$14)</f>
        <v>0</v>
      </c>
      <c r="G10" s="27" t="str">
        <f aca="false">IF(D10=0,"",RANK(D10,$D$4:$D$13))</f>
        <v/>
      </c>
    </row>
    <row r="11" customFormat="false" ht="24" hidden="false" customHeight="true" outlineLevel="0" collapsed="false">
      <c r="A11" s="15" t="s">
        <v>76</v>
      </c>
      <c r="B11" s="21" t="n">
        <f aca="false">SUMIFS('② Manual Task Log'!$J$4:$J$63,'② Manual Task Log'!$B$4:$B$63,$A11)</f>
        <v>0</v>
      </c>
      <c r="C11" s="21" t="n">
        <f aca="false">SUMIFS('③ Incident Time Log'!$J$4:$J$43,'③ Incident Time Log'!$B$4:$B$43,$A11)</f>
        <v>0</v>
      </c>
      <c r="D11" s="21" t="n">
        <f aca="false">B11+C11</f>
        <v>0</v>
      </c>
      <c r="E11" s="21" t="n">
        <f aca="false">D11*12</f>
        <v>0</v>
      </c>
      <c r="F11" s="26" t="n">
        <f aca="false">IF($D$14=0,0,D11/$D$14)</f>
        <v>0</v>
      </c>
      <c r="G11" s="27" t="str">
        <f aca="false">IF(D11=0,"",RANK(D11,$D$4:$D$13))</f>
        <v/>
      </c>
    </row>
    <row r="12" customFormat="false" ht="24" hidden="false" customHeight="true" outlineLevel="0" collapsed="false">
      <c r="A12" s="15" t="s">
        <v>80</v>
      </c>
      <c r="B12" s="21" t="n">
        <f aca="false">SUMIFS('② Manual Task Log'!$J$4:$J$63,'② Manual Task Log'!$B$4:$B$63,$A12)</f>
        <v>0</v>
      </c>
      <c r="C12" s="21" t="n">
        <f aca="false">SUMIFS('③ Incident Time Log'!$J$4:$J$43,'③ Incident Time Log'!$B$4:$B$43,$A12)</f>
        <v>0</v>
      </c>
      <c r="D12" s="21" t="n">
        <f aca="false">B12+C12</f>
        <v>0</v>
      </c>
      <c r="E12" s="21" t="n">
        <f aca="false">D12*12</f>
        <v>0</v>
      </c>
      <c r="F12" s="26" t="n">
        <f aca="false">IF($D$14=0,0,D12/$D$14)</f>
        <v>0</v>
      </c>
      <c r="G12" s="27" t="str">
        <f aca="false">IF(D12=0,"",RANK(D12,$D$4:$D$13))</f>
        <v/>
      </c>
    </row>
    <row r="13" customFormat="false" ht="24" hidden="false" customHeight="true" outlineLevel="0" collapsed="false">
      <c r="A13" s="15" t="s">
        <v>84</v>
      </c>
      <c r="B13" s="21" t="n">
        <f aca="false">SUMIFS('② Manual Task Log'!$J$4:$J$63,'② Manual Task Log'!$B$4:$B$63,$A13)</f>
        <v>0</v>
      </c>
      <c r="C13" s="21" t="n">
        <f aca="false">SUMIFS('③ Incident Time Log'!$J$4:$J$43,'③ Incident Time Log'!$B$4:$B$43,$A13)</f>
        <v>0</v>
      </c>
      <c r="D13" s="21" t="n">
        <f aca="false">B13+C13</f>
        <v>0</v>
      </c>
      <c r="E13" s="21" t="n">
        <f aca="false">D13*12</f>
        <v>0</v>
      </c>
      <c r="F13" s="26" t="n">
        <f aca="false">IF($D$14=0,0,D13/$D$14)</f>
        <v>0</v>
      </c>
      <c r="G13" s="27" t="str">
        <f aca="false">IF(D13=0,"",RANK(D13,$D$4:$D$13))</f>
        <v/>
      </c>
    </row>
    <row r="14" customFormat="false" ht="15" hidden="false" customHeight="true" outlineLevel="0" collapsed="false">
      <c r="A14" s="28" t="s">
        <v>136</v>
      </c>
      <c r="B14" s="24" t="n">
        <f aca="false">SUM(B4:B13)</f>
        <v>51.0833333333333</v>
      </c>
      <c r="C14" s="24" t="n">
        <f aca="false">SUM(C4:C13)</f>
        <v>0</v>
      </c>
      <c r="D14" s="24" t="n">
        <f aca="false">SUM(D4:D13)</f>
        <v>51.0833333333333</v>
      </c>
      <c r="E14" s="24" t="n">
        <f aca="false">SUM(E4:E13)</f>
        <v>613</v>
      </c>
      <c r="F14" s="29" t="n">
        <f aca="false">SUM(F4:F13)</f>
        <v>1</v>
      </c>
      <c r="G14" s="30"/>
    </row>
    <row r="16" customFormat="false" ht="15" hidden="false" customHeight="true" outlineLevel="0" collapsed="false">
      <c r="A16" s="12" t="s">
        <v>156</v>
      </c>
      <c r="B16" s="12"/>
      <c r="C16" s="12"/>
      <c r="D16" s="12"/>
      <c r="E16" s="12"/>
      <c r="F16" s="12"/>
    </row>
  </sheetData>
  <mergeCells count="3">
    <mergeCell ref="A1:G1"/>
    <mergeCell ref="A2:G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"/>
    <col collapsed="false" customWidth="true" hidden="false" outlineLevel="0" max="3" min="3" style="1" width="22"/>
    <col collapsed="false" customWidth="true" hidden="false" outlineLevel="0" max="5" min="4" style="1" width="24"/>
    <col collapsed="false" customWidth="true" hidden="false" outlineLevel="0" max="6" min="6" style="1" width="28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0" hidden="false" customHeight="true" outlineLevel="0" collapsed="false">
      <c r="A1" s="2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0" hidden="false" customHeight="true" outlineLevel="0" collapsed="false">
      <c r="A3" s="13" t="s">
        <v>28</v>
      </c>
      <c r="B3" s="13" t="s">
        <v>29</v>
      </c>
      <c r="C3" s="13" t="s">
        <v>30</v>
      </c>
      <c r="D3" s="13" t="s">
        <v>159</v>
      </c>
      <c r="E3" s="13" t="s">
        <v>160</v>
      </c>
      <c r="F3" s="13" t="s">
        <v>161</v>
      </c>
      <c r="G3" s="13" t="s">
        <v>162</v>
      </c>
      <c r="H3" s="13" t="s">
        <v>163</v>
      </c>
      <c r="I3" s="13" t="s">
        <v>164</v>
      </c>
      <c r="J3" s="13" t="s">
        <v>165</v>
      </c>
      <c r="K3" s="13" t="s">
        <v>166</v>
      </c>
    </row>
    <row r="4" customFormat="false" ht="25.5" hidden="false" customHeight="true" outlineLevel="0" collapsed="false">
      <c r="A4" s="14" t="n">
        <v>1</v>
      </c>
      <c r="B4" s="17"/>
      <c r="C4" s="31"/>
      <c r="D4" s="17"/>
      <c r="E4" s="17"/>
      <c r="F4" s="17"/>
      <c r="G4" s="17"/>
      <c r="H4" s="17"/>
      <c r="I4" s="17"/>
      <c r="J4" s="17"/>
      <c r="K4" s="17"/>
    </row>
    <row r="5" customFormat="false" ht="25.5" hidden="false" customHeight="true" outlineLevel="0" collapsed="false">
      <c r="A5" s="14" t="n">
        <v>2</v>
      </c>
      <c r="B5" s="17"/>
      <c r="C5" s="31"/>
      <c r="D5" s="17"/>
      <c r="E5" s="17"/>
      <c r="F5" s="17"/>
      <c r="G5" s="17"/>
      <c r="H5" s="17"/>
      <c r="I5" s="17"/>
      <c r="J5" s="17"/>
      <c r="K5" s="17"/>
    </row>
    <row r="6" customFormat="false" ht="25.5" hidden="false" customHeight="true" outlineLevel="0" collapsed="false">
      <c r="A6" s="14" t="n">
        <v>3</v>
      </c>
      <c r="B6" s="17"/>
      <c r="C6" s="31"/>
      <c r="D6" s="17"/>
      <c r="E6" s="17"/>
      <c r="F6" s="17"/>
      <c r="G6" s="17"/>
      <c r="H6" s="17"/>
      <c r="I6" s="17"/>
      <c r="J6" s="17"/>
      <c r="K6" s="17"/>
    </row>
    <row r="7" customFormat="false" ht="25.5" hidden="false" customHeight="true" outlineLevel="0" collapsed="false">
      <c r="A7" s="14" t="n">
        <v>4</v>
      </c>
      <c r="B7" s="17"/>
      <c r="C7" s="31"/>
      <c r="D7" s="17"/>
      <c r="E7" s="17"/>
      <c r="F7" s="17"/>
      <c r="G7" s="17"/>
      <c r="H7" s="17"/>
      <c r="I7" s="17"/>
      <c r="J7" s="17"/>
      <c r="K7" s="17"/>
    </row>
    <row r="8" customFormat="false" ht="25.5" hidden="false" customHeight="true" outlineLevel="0" collapsed="false">
      <c r="A8" s="14" t="n">
        <v>5</v>
      </c>
      <c r="B8" s="17"/>
      <c r="C8" s="31"/>
      <c r="D8" s="17"/>
      <c r="E8" s="17"/>
      <c r="F8" s="17"/>
      <c r="G8" s="17"/>
      <c r="H8" s="17"/>
      <c r="I8" s="17"/>
      <c r="J8" s="17"/>
      <c r="K8" s="17"/>
    </row>
    <row r="9" customFormat="false" ht="25.5" hidden="false" customHeight="true" outlineLevel="0" collapsed="false">
      <c r="A9" s="14" t="n">
        <v>6</v>
      </c>
      <c r="B9" s="17"/>
      <c r="C9" s="31"/>
      <c r="D9" s="17"/>
      <c r="E9" s="17"/>
      <c r="F9" s="17"/>
      <c r="G9" s="17"/>
      <c r="H9" s="17"/>
      <c r="I9" s="17"/>
      <c r="J9" s="17"/>
      <c r="K9" s="17"/>
    </row>
    <row r="10" customFormat="false" ht="25.5" hidden="false" customHeight="true" outlineLevel="0" collapsed="false">
      <c r="A10" s="14" t="n">
        <v>7</v>
      </c>
      <c r="B10" s="17"/>
      <c r="C10" s="31"/>
      <c r="D10" s="17"/>
      <c r="E10" s="17"/>
      <c r="F10" s="17"/>
      <c r="G10" s="17"/>
      <c r="H10" s="17"/>
      <c r="I10" s="17"/>
      <c r="J10" s="17"/>
      <c r="K10" s="17"/>
    </row>
    <row r="11" customFormat="false" ht="25.5" hidden="false" customHeight="true" outlineLevel="0" collapsed="false">
      <c r="A11" s="14" t="n">
        <v>8</v>
      </c>
      <c r="B11" s="17"/>
      <c r="C11" s="31"/>
      <c r="D11" s="17"/>
      <c r="E11" s="17"/>
      <c r="F11" s="17"/>
      <c r="G11" s="17"/>
      <c r="H11" s="17"/>
      <c r="I11" s="17"/>
      <c r="J11" s="17"/>
      <c r="K11" s="17"/>
    </row>
    <row r="12" customFormat="false" ht="25.5" hidden="false" customHeight="true" outlineLevel="0" collapsed="false">
      <c r="A12" s="14" t="n">
        <v>9</v>
      </c>
      <c r="B12" s="17"/>
      <c r="C12" s="31"/>
      <c r="D12" s="17"/>
      <c r="E12" s="17"/>
      <c r="F12" s="17"/>
      <c r="G12" s="17"/>
      <c r="H12" s="17"/>
      <c r="I12" s="17"/>
      <c r="J12" s="17"/>
      <c r="K12" s="17"/>
    </row>
    <row r="13" customFormat="false" ht="25.5" hidden="false" customHeight="true" outlineLevel="0" collapsed="false">
      <c r="A13" s="14" t="n">
        <v>10</v>
      </c>
      <c r="B13" s="17"/>
      <c r="C13" s="31"/>
      <c r="D13" s="17"/>
      <c r="E13" s="17"/>
      <c r="F13" s="17"/>
      <c r="G13" s="17"/>
      <c r="H13" s="17"/>
      <c r="I13" s="17"/>
      <c r="J13" s="17"/>
      <c r="K13" s="17"/>
    </row>
    <row r="14" customFormat="false" ht="25.5" hidden="false" customHeight="true" outlineLevel="0" collapsed="false">
      <c r="A14" s="14" t="n">
        <v>11</v>
      </c>
      <c r="B14" s="17"/>
      <c r="C14" s="31"/>
      <c r="D14" s="17"/>
      <c r="E14" s="17"/>
      <c r="F14" s="17"/>
      <c r="G14" s="17"/>
      <c r="H14" s="17"/>
      <c r="I14" s="17"/>
      <c r="J14" s="17"/>
      <c r="K14" s="17"/>
    </row>
    <row r="15" customFormat="false" ht="25.5" hidden="false" customHeight="true" outlineLevel="0" collapsed="false">
      <c r="A15" s="14" t="n">
        <v>12</v>
      </c>
      <c r="B15" s="17"/>
      <c r="C15" s="31"/>
      <c r="D15" s="17"/>
      <c r="E15" s="17"/>
      <c r="F15" s="17"/>
      <c r="G15" s="17"/>
      <c r="H15" s="17"/>
      <c r="I15" s="17"/>
      <c r="J15" s="17"/>
      <c r="K15" s="17"/>
    </row>
    <row r="16" customFormat="false" ht="25.5" hidden="false" customHeight="true" outlineLevel="0" collapsed="false">
      <c r="A16" s="14" t="n">
        <v>13</v>
      </c>
      <c r="B16" s="17"/>
      <c r="C16" s="31"/>
      <c r="D16" s="17"/>
      <c r="E16" s="17"/>
      <c r="F16" s="17"/>
      <c r="G16" s="17"/>
      <c r="H16" s="17"/>
      <c r="I16" s="17"/>
      <c r="J16" s="17"/>
      <c r="K16" s="17"/>
    </row>
    <row r="17" customFormat="false" ht="25.5" hidden="false" customHeight="true" outlineLevel="0" collapsed="false">
      <c r="A17" s="14" t="n">
        <v>14</v>
      </c>
      <c r="B17" s="17"/>
      <c r="C17" s="31"/>
      <c r="D17" s="17"/>
      <c r="E17" s="17"/>
      <c r="F17" s="17"/>
      <c r="G17" s="17"/>
      <c r="H17" s="17"/>
      <c r="I17" s="17"/>
      <c r="J17" s="17"/>
      <c r="K17" s="17"/>
    </row>
    <row r="18" customFormat="false" ht="25.5" hidden="false" customHeight="true" outlineLevel="0" collapsed="false">
      <c r="A18" s="14" t="n">
        <v>15</v>
      </c>
      <c r="B18" s="17"/>
      <c r="C18" s="31"/>
      <c r="D18" s="17"/>
      <c r="E18" s="17"/>
      <c r="F18" s="17"/>
      <c r="G18" s="17"/>
      <c r="H18" s="17"/>
      <c r="I18" s="17"/>
      <c r="J18" s="17"/>
      <c r="K18" s="17"/>
    </row>
    <row r="19" customFormat="false" ht="25.5" hidden="false" customHeight="true" outlineLevel="0" collapsed="false">
      <c r="A19" s="14" t="n">
        <v>16</v>
      </c>
      <c r="B19" s="17"/>
      <c r="C19" s="31"/>
      <c r="D19" s="17"/>
      <c r="E19" s="17"/>
      <c r="F19" s="17"/>
      <c r="G19" s="17"/>
      <c r="H19" s="17"/>
      <c r="I19" s="17"/>
      <c r="J19" s="17"/>
      <c r="K19" s="17"/>
    </row>
    <row r="20" customFormat="false" ht="25.5" hidden="false" customHeight="true" outlineLevel="0" collapsed="false">
      <c r="A20" s="14" t="n">
        <v>17</v>
      </c>
      <c r="B20" s="17"/>
      <c r="C20" s="31"/>
      <c r="D20" s="17"/>
      <c r="E20" s="17"/>
      <c r="F20" s="17"/>
      <c r="G20" s="17"/>
      <c r="H20" s="17"/>
      <c r="I20" s="17"/>
      <c r="J20" s="17"/>
      <c r="K20" s="17"/>
    </row>
    <row r="21" customFormat="false" ht="25.5" hidden="false" customHeight="true" outlineLevel="0" collapsed="false">
      <c r="A21" s="14" t="n">
        <v>18</v>
      </c>
      <c r="B21" s="17"/>
      <c r="C21" s="31"/>
      <c r="D21" s="17"/>
      <c r="E21" s="17"/>
      <c r="F21" s="17"/>
      <c r="G21" s="17"/>
      <c r="H21" s="17"/>
      <c r="I21" s="17"/>
      <c r="J21" s="17"/>
      <c r="K21" s="17"/>
    </row>
    <row r="22" customFormat="false" ht="25.5" hidden="false" customHeight="true" outlineLevel="0" collapsed="false">
      <c r="A22" s="14" t="n">
        <v>19</v>
      </c>
      <c r="B22" s="17"/>
      <c r="C22" s="31"/>
      <c r="D22" s="17"/>
      <c r="E22" s="17"/>
      <c r="F22" s="17"/>
      <c r="G22" s="17"/>
      <c r="H22" s="17"/>
      <c r="I22" s="17"/>
      <c r="J22" s="17"/>
      <c r="K22" s="17"/>
    </row>
    <row r="23" customFormat="false" ht="25.5" hidden="false" customHeight="true" outlineLevel="0" collapsed="false">
      <c r="A23" s="14" t="n">
        <v>20</v>
      </c>
      <c r="B23" s="17"/>
      <c r="C23" s="31"/>
      <c r="D23" s="17"/>
      <c r="E23" s="17"/>
      <c r="F23" s="17"/>
      <c r="G23" s="17"/>
      <c r="H23" s="17"/>
      <c r="I23" s="17"/>
      <c r="J23" s="17"/>
      <c r="K23" s="17"/>
    </row>
    <row r="24" customFormat="false" ht="25.5" hidden="false" customHeight="true" outlineLevel="0" collapsed="false">
      <c r="A24" s="14" t="n">
        <v>21</v>
      </c>
      <c r="B24" s="17"/>
      <c r="C24" s="31"/>
      <c r="D24" s="17"/>
      <c r="E24" s="17"/>
      <c r="F24" s="17"/>
      <c r="G24" s="17"/>
      <c r="H24" s="17"/>
      <c r="I24" s="17"/>
      <c r="J24" s="17"/>
      <c r="K24" s="17"/>
    </row>
    <row r="25" customFormat="false" ht="25.5" hidden="false" customHeight="true" outlineLevel="0" collapsed="false">
      <c r="A25" s="14" t="n">
        <v>22</v>
      </c>
      <c r="B25" s="17"/>
      <c r="C25" s="31"/>
      <c r="D25" s="17"/>
      <c r="E25" s="17"/>
      <c r="F25" s="17"/>
      <c r="G25" s="17"/>
      <c r="H25" s="17"/>
      <c r="I25" s="17"/>
      <c r="J25" s="17"/>
      <c r="K25" s="17"/>
    </row>
    <row r="26" customFormat="false" ht="25.5" hidden="false" customHeight="true" outlineLevel="0" collapsed="false">
      <c r="A26" s="14" t="n">
        <v>23</v>
      </c>
      <c r="B26" s="17"/>
      <c r="C26" s="31"/>
      <c r="D26" s="17"/>
      <c r="E26" s="17"/>
      <c r="F26" s="17"/>
      <c r="G26" s="17"/>
      <c r="H26" s="17"/>
      <c r="I26" s="17"/>
      <c r="J26" s="17"/>
      <c r="K26" s="17"/>
    </row>
    <row r="27" customFormat="false" ht="25.5" hidden="false" customHeight="true" outlineLevel="0" collapsed="false">
      <c r="A27" s="14" t="n">
        <v>24</v>
      </c>
      <c r="B27" s="17"/>
      <c r="C27" s="31"/>
      <c r="D27" s="17"/>
      <c r="E27" s="17"/>
      <c r="F27" s="17"/>
      <c r="G27" s="17"/>
      <c r="H27" s="17"/>
      <c r="I27" s="17"/>
      <c r="J27" s="17"/>
      <c r="K27" s="17"/>
    </row>
    <row r="28" customFormat="false" ht="25.5" hidden="false" customHeight="true" outlineLevel="0" collapsed="false">
      <c r="A28" s="14" t="n">
        <v>25</v>
      </c>
      <c r="B28" s="17"/>
      <c r="C28" s="31"/>
      <c r="D28" s="17"/>
      <c r="E28" s="17"/>
      <c r="F28" s="17"/>
      <c r="G28" s="17"/>
      <c r="H28" s="17"/>
      <c r="I28" s="17"/>
      <c r="J28" s="17"/>
      <c r="K28" s="17"/>
    </row>
    <row r="29" customFormat="false" ht="25.5" hidden="false" customHeight="true" outlineLevel="0" collapsed="false">
      <c r="A29" s="14" t="n">
        <v>26</v>
      </c>
      <c r="B29" s="17"/>
      <c r="C29" s="31"/>
      <c r="D29" s="17"/>
      <c r="E29" s="17"/>
      <c r="F29" s="17"/>
      <c r="G29" s="17"/>
      <c r="H29" s="17"/>
      <c r="I29" s="17"/>
      <c r="J29" s="17"/>
      <c r="K29" s="17"/>
    </row>
    <row r="30" customFormat="false" ht="25.5" hidden="false" customHeight="true" outlineLevel="0" collapsed="false">
      <c r="A30" s="14" t="n">
        <v>27</v>
      </c>
      <c r="B30" s="17"/>
      <c r="C30" s="31"/>
      <c r="D30" s="17"/>
      <c r="E30" s="17"/>
      <c r="F30" s="17"/>
      <c r="G30" s="17"/>
      <c r="H30" s="17"/>
      <c r="I30" s="17"/>
      <c r="J30" s="17"/>
      <c r="K30" s="17"/>
    </row>
    <row r="31" customFormat="false" ht="25.5" hidden="false" customHeight="true" outlineLevel="0" collapsed="false">
      <c r="A31" s="14" t="n">
        <v>28</v>
      </c>
      <c r="B31" s="17"/>
      <c r="C31" s="31"/>
      <c r="D31" s="17"/>
      <c r="E31" s="17"/>
      <c r="F31" s="17"/>
      <c r="G31" s="17"/>
      <c r="H31" s="17"/>
      <c r="I31" s="17"/>
      <c r="J31" s="17"/>
      <c r="K31" s="17"/>
    </row>
    <row r="32" customFormat="false" ht="25.5" hidden="false" customHeight="true" outlineLevel="0" collapsed="false">
      <c r="A32" s="14" t="n">
        <v>29</v>
      </c>
      <c r="B32" s="17"/>
      <c r="C32" s="31"/>
      <c r="D32" s="17"/>
      <c r="E32" s="17"/>
      <c r="F32" s="17"/>
      <c r="G32" s="17"/>
      <c r="H32" s="17"/>
      <c r="I32" s="17"/>
      <c r="J32" s="17"/>
      <c r="K32" s="17"/>
    </row>
    <row r="33" customFormat="false" ht="25.5" hidden="false" customHeight="true" outlineLevel="0" collapsed="false">
      <c r="A33" s="14" t="n">
        <v>30</v>
      </c>
      <c r="B33" s="17"/>
      <c r="C33" s="31"/>
      <c r="D33" s="17"/>
      <c r="E33" s="17"/>
      <c r="F33" s="17"/>
      <c r="G33" s="17"/>
      <c r="H33" s="17"/>
      <c r="I33" s="17"/>
      <c r="J33" s="17"/>
      <c r="K33" s="17"/>
    </row>
    <row r="34" customFormat="false" ht="25.5" hidden="false" customHeight="true" outlineLevel="0" collapsed="false">
      <c r="A34" s="14" t="n">
        <v>31</v>
      </c>
      <c r="B34" s="17"/>
      <c r="C34" s="31"/>
      <c r="D34" s="17"/>
      <c r="E34" s="17"/>
      <c r="F34" s="17"/>
      <c r="G34" s="17"/>
      <c r="H34" s="17"/>
      <c r="I34" s="17"/>
      <c r="J34" s="17"/>
      <c r="K34" s="17"/>
    </row>
    <row r="35" customFormat="false" ht="25.5" hidden="false" customHeight="true" outlineLevel="0" collapsed="false">
      <c r="A35" s="14" t="n">
        <v>32</v>
      </c>
      <c r="B35" s="17"/>
      <c r="C35" s="31"/>
      <c r="D35" s="17"/>
      <c r="E35" s="17"/>
      <c r="F35" s="17"/>
      <c r="G35" s="17"/>
      <c r="H35" s="17"/>
      <c r="I35" s="17"/>
      <c r="J35" s="17"/>
      <c r="K35" s="17"/>
    </row>
    <row r="36" customFormat="false" ht="25.5" hidden="false" customHeight="true" outlineLevel="0" collapsed="false">
      <c r="A36" s="14" t="n">
        <v>33</v>
      </c>
      <c r="B36" s="17"/>
      <c r="C36" s="31"/>
      <c r="D36" s="17"/>
      <c r="E36" s="17"/>
      <c r="F36" s="17"/>
      <c r="G36" s="17"/>
      <c r="H36" s="17"/>
      <c r="I36" s="17"/>
      <c r="J36" s="17"/>
      <c r="K36" s="17"/>
    </row>
    <row r="37" customFormat="false" ht="25.5" hidden="false" customHeight="true" outlineLevel="0" collapsed="false">
      <c r="A37" s="14" t="n">
        <v>34</v>
      </c>
      <c r="B37" s="17"/>
      <c r="C37" s="31"/>
      <c r="D37" s="17"/>
      <c r="E37" s="17"/>
      <c r="F37" s="17"/>
      <c r="G37" s="17"/>
      <c r="H37" s="17"/>
      <c r="I37" s="17"/>
      <c r="J37" s="17"/>
      <c r="K37" s="17"/>
    </row>
    <row r="38" customFormat="false" ht="25.5" hidden="false" customHeight="true" outlineLevel="0" collapsed="false">
      <c r="A38" s="14" t="n">
        <v>35</v>
      </c>
      <c r="B38" s="17"/>
      <c r="C38" s="31"/>
      <c r="D38" s="17"/>
      <c r="E38" s="17"/>
      <c r="F38" s="17"/>
      <c r="G38" s="17"/>
      <c r="H38" s="17"/>
      <c r="I38" s="17"/>
      <c r="J38" s="17"/>
      <c r="K38" s="17"/>
    </row>
    <row r="39" customFormat="false" ht="25.5" hidden="false" customHeight="true" outlineLevel="0" collapsed="false">
      <c r="A39" s="14" t="n">
        <v>36</v>
      </c>
      <c r="B39" s="17"/>
      <c r="C39" s="31"/>
      <c r="D39" s="17"/>
      <c r="E39" s="17"/>
      <c r="F39" s="17"/>
      <c r="G39" s="17"/>
      <c r="H39" s="17"/>
      <c r="I39" s="17"/>
      <c r="J39" s="17"/>
      <c r="K39" s="17"/>
    </row>
    <row r="40" customFormat="false" ht="25.5" hidden="false" customHeight="true" outlineLevel="0" collapsed="false">
      <c r="A40" s="14" t="n">
        <v>37</v>
      </c>
      <c r="B40" s="17"/>
      <c r="C40" s="31"/>
      <c r="D40" s="17"/>
      <c r="E40" s="17"/>
      <c r="F40" s="17"/>
      <c r="G40" s="17"/>
      <c r="H40" s="17"/>
      <c r="I40" s="17"/>
      <c r="J40" s="17"/>
      <c r="K40" s="17"/>
    </row>
    <row r="41" customFormat="false" ht="25.5" hidden="false" customHeight="true" outlineLevel="0" collapsed="false">
      <c r="A41" s="14" t="n">
        <v>38</v>
      </c>
      <c r="B41" s="17"/>
      <c r="C41" s="31"/>
      <c r="D41" s="17"/>
      <c r="E41" s="17"/>
      <c r="F41" s="17"/>
      <c r="G41" s="17"/>
      <c r="H41" s="17"/>
      <c r="I41" s="17"/>
      <c r="J41" s="17"/>
      <c r="K41" s="17"/>
    </row>
    <row r="42" customFormat="false" ht="25.5" hidden="false" customHeight="true" outlineLevel="0" collapsed="false">
      <c r="A42" s="14" t="n">
        <v>39</v>
      </c>
      <c r="B42" s="17"/>
      <c r="C42" s="31"/>
      <c r="D42" s="17"/>
      <c r="E42" s="17"/>
      <c r="F42" s="17"/>
      <c r="G42" s="17"/>
      <c r="H42" s="17"/>
      <c r="I42" s="17"/>
      <c r="J42" s="17"/>
      <c r="K42" s="17"/>
    </row>
    <row r="43" customFormat="false" ht="25.5" hidden="false" customHeight="true" outlineLevel="0" collapsed="false">
      <c r="A43" s="14" t="n">
        <v>40</v>
      </c>
      <c r="B43" s="17"/>
      <c r="C43" s="31"/>
      <c r="D43" s="17"/>
      <c r="E43" s="17"/>
      <c r="F43" s="17"/>
      <c r="G43" s="17"/>
      <c r="H43" s="17"/>
      <c r="I43" s="17"/>
      <c r="J43" s="17"/>
      <c r="K43" s="17"/>
    </row>
    <row r="44" customFormat="false" ht="25.5" hidden="false" customHeight="true" outlineLevel="0" collapsed="false">
      <c r="A44" s="14" t="n">
        <v>41</v>
      </c>
      <c r="B44" s="17"/>
      <c r="C44" s="31"/>
      <c r="D44" s="17"/>
      <c r="E44" s="17"/>
      <c r="F44" s="17"/>
      <c r="G44" s="17"/>
      <c r="H44" s="17"/>
      <c r="I44" s="17"/>
      <c r="J44" s="17"/>
      <c r="K44" s="17"/>
    </row>
    <row r="45" customFormat="false" ht="25.5" hidden="false" customHeight="true" outlineLevel="0" collapsed="false">
      <c r="A45" s="14" t="n">
        <v>42</v>
      </c>
      <c r="B45" s="17"/>
      <c r="C45" s="31"/>
      <c r="D45" s="17"/>
      <c r="E45" s="17"/>
      <c r="F45" s="17"/>
      <c r="G45" s="17"/>
      <c r="H45" s="17"/>
      <c r="I45" s="17"/>
      <c r="J45" s="17"/>
      <c r="K45" s="17"/>
    </row>
    <row r="46" customFormat="false" ht="25.5" hidden="false" customHeight="true" outlineLevel="0" collapsed="false">
      <c r="A46" s="14" t="n">
        <v>43</v>
      </c>
      <c r="B46" s="17"/>
      <c r="C46" s="31"/>
      <c r="D46" s="17"/>
      <c r="E46" s="17"/>
      <c r="F46" s="17"/>
      <c r="G46" s="17"/>
      <c r="H46" s="17"/>
      <c r="I46" s="17"/>
      <c r="J46" s="17"/>
      <c r="K46" s="17"/>
    </row>
    <row r="47" customFormat="false" ht="25.5" hidden="false" customHeight="true" outlineLevel="0" collapsed="false">
      <c r="A47" s="14" t="n">
        <v>44</v>
      </c>
      <c r="B47" s="17"/>
      <c r="C47" s="31"/>
      <c r="D47" s="17"/>
      <c r="E47" s="17"/>
      <c r="F47" s="17"/>
      <c r="G47" s="17"/>
      <c r="H47" s="17"/>
      <c r="I47" s="17"/>
      <c r="J47" s="17"/>
      <c r="K47" s="17"/>
    </row>
    <row r="48" customFormat="false" ht="25.5" hidden="false" customHeight="true" outlineLevel="0" collapsed="false">
      <c r="A48" s="14" t="n">
        <v>45</v>
      </c>
      <c r="B48" s="17"/>
      <c r="C48" s="31"/>
      <c r="D48" s="17"/>
      <c r="E48" s="17"/>
      <c r="F48" s="17"/>
      <c r="G48" s="17"/>
      <c r="H48" s="17"/>
      <c r="I48" s="17"/>
      <c r="J48" s="17"/>
      <c r="K48" s="17"/>
    </row>
    <row r="49" customFormat="false" ht="25.5" hidden="false" customHeight="true" outlineLevel="0" collapsed="false">
      <c r="A49" s="14" t="n">
        <v>46</v>
      </c>
      <c r="B49" s="17"/>
      <c r="C49" s="31"/>
      <c r="D49" s="17"/>
      <c r="E49" s="17"/>
      <c r="F49" s="17"/>
      <c r="G49" s="17"/>
      <c r="H49" s="17"/>
      <c r="I49" s="17"/>
      <c r="J49" s="17"/>
      <c r="K49" s="17"/>
    </row>
    <row r="50" customFormat="false" ht="25.5" hidden="false" customHeight="true" outlineLevel="0" collapsed="false">
      <c r="A50" s="14" t="n">
        <v>47</v>
      </c>
      <c r="B50" s="17"/>
      <c r="C50" s="31"/>
      <c r="D50" s="17"/>
      <c r="E50" s="17"/>
      <c r="F50" s="17"/>
      <c r="G50" s="17"/>
      <c r="H50" s="17"/>
      <c r="I50" s="17"/>
      <c r="J50" s="17"/>
      <c r="K50" s="17"/>
    </row>
    <row r="51" customFormat="false" ht="25.5" hidden="false" customHeight="true" outlineLevel="0" collapsed="false">
      <c r="A51" s="14" t="n">
        <v>48</v>
      </c>
      <c r="B51" s="17"/>
      <c r="C51" s="31"/>
      <c r="D51" s="17"/>
      <c r="E51" s="17"/>
      <c r="F51" s="17"/>
      <c r="G51" s="17"/>
      <c r="H51" s="17"/>
      <c r="I51" s="17"/>
      <c r="J51" s="17"/>
      <c r="K51" s="17"/>
    </row>
    <row r="52" customFormat="false" ht="25.5" hidden="false" customHeight="true" outlineLevel="0" collapsed="false">
      <c r="A52" s="14" t="n">
        <v>49</v>
      </c>
      <c r="B52" s="17"/>
      <c r="C52" s="31"/>
      <c r="D52" s="17"/>
      <c r="E52" s="17"/>
      <c r="F52" s="17"/>
      <c r="G52" s="17"/>
      <c r="H52" s="17"/>
      <c r="I52" s="17"/>
      <c r="J52" s="17"/>
      <c r="K52" s="17"/>
    </row>
    <row r="53" customFormat="false" ht="25.5" hidden="false" customHeight="true" outlineLevel="0" collapsed="false">
      <c r="A53" s="14" t="n">
        <v>50</v>
      </c>
      <c r="B53" s="17"/>
      <c r="C53" s="31"/>
      <c r="D53" s="17"/>
      <c r="E53" s="17"/>
      <c r="F53" s="17"/>
      <c r="G53" s="17"/>
      <c r="H53" s="17"/>
      <c r="I53" s="17"/>
      <c r="J53" s="17"/>
      <c r="K53" s="17"/>
    </row>
    <row r="55" customFormat="false" ht="15" hidden="false" customHeight="true" outlineLevel="0" collapsed="false">
      <c r="B55" s="12" t="s">
        <v>167</v>
      </c>
      <c r="C55" s="12"/>
      <c r="D55" s="12"/>
      <c r="E55" s="12"/>
      <c r="F55" s="12"/>
      <c r="G55" s="12"/>
      <c r="H55" s="12"/>
      <c r="I55" s="12"/>
      <c r="J55" s="12"/>
    </row>
  </sheetData>
  <mergeCells count="3">
    <mergeCell ref="A1:K1"/>
    <mergeCell ref="A2:K2"/>
    <mergeCell ref="B55:J55"/>
  </mergeCells>
  <dataValidations count="6">
    <dataValidation allowBlank="true" errorStyle="stop" operator="between" showDropDown="false" showErrorMessage="false" showInputMessage="false" sqref="B4:B53" type="list">
      <formula1>"Architecture,Resiliency,Lifecycle,Capacity Planning,Compliance,Security,Observability,Finance / Chargeback,Zephyr Integration,Incident Mgmt (iO)"</formula1>
      <formula2>0</formula2>
    </dataValidation>
    <dataValidation allowBlank="true" errorStyle="stop" operator="between" showDropDown="false" showErrorMessage="false" showInputMessage="false" sqref="C4:C53" type="list">
      <formula1>CapList</formula1>
      <formula2>0</formula2>
    </dataValidation>
    <dataValidation allowBlank="true" errorStyle="stop" operator="between" showDropDown="false" showErrorMessage="false" showInputMessage="false" sqref="G4:G53" type="list">
      <formula1>"Yes,No,Partial"</formula1>
      <formula2>0</formula2>
    </dataValidation>
    <dataValidation allowBlank="true" errorStyle="stop" operator="between" showDropDown="false" showErrorMessage="false" showInputMessage="false" sqref="H4:H53" type="list">
      <formula1>"S,M,L,XL"</formula1>
      <formula2>0</formula2>
    </dataValidation>
    <dataValidation allowBlank="true" errorStyle="stop" operator="between" showDropDown="false" showErrorMessage="false" showInputMessage="false" sqref="I4:I53" type="list">
      <formula1>"P1 Discovery,P2 Assessment &amp; Design,P3 SQL Pod Kickoff,P4 Ongoing Governance"</formula1>
      <formula2>0</formula2>
    </dataValidation>
    <dataValidation allowBlank="true" errorStyle="stop" operator="between" showDropDown="false" showErrorMessage="false" showInputMessage="false" sqref="K4:K53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30" hidden="false" customHeight="true" outlineLevel="0" collapsed="false">
      <c r="A1" s="2" t="s">
        <v>13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168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13" t="s">
        <v>169</v>
      </c>
      <c r="B3" s="13" t="s">
        <v>170</v>
      </c>
      <c r="C3" s="13" t="s">
        <v>171</v>
      </c>
      <c r="D3" s="13" t="s">
        <v>165</v>
      </c>
      <c r="E3" s="13" t="s">
        <v>172</v>
      </c>
      <c r="F3" s="13" t="s">
        <v>173</v>
      </c>
      <c r="G3" s="13" t="s">
        <v>166</v>
      </c>
      <c r="H3" s="13" t="s">
        <v>174</v>
      </c>
    </row>
    <row r="4" customFormat="false" ht="43.5" hidden="false" customHeight="true" outlineLevel="0" collapsed="false">
      <c r="A4" s="32" t="s">
        <v>175</v>
      </c>
      <c r="B4" s="33" t="s">
        <v>176</v>
      </c>
      <c r="C4" s="16" t="s">
        <v>177</v>
      </c>
      <c r="D4" s="34"/>
      <c r="E4" s="34"/>
      <c r="F4" s="34"/>
      <c r="G4" s="34" t="s">
        <v>178</v>
      </c>
      <c r="H4" s="16" t="s">
        <v>179</v>
      </c>
    </row>
    <row r="5" customFormat="false" ht="43.5" hidden="false" customHeight="true" outlineLevel="0" collapsed="false">
      <c r="A5" s="32" t="s">
        <v>180</v>
      </c>
      <c r="B5" s="33" t="s">
        <v>181</v>
      </c>
      <c r="C5" s="16" t="s">
        <v>182</v>
      </c>
      <c r="D5" s="34"/>
      <c r="E5" s="34"/>
      <c r="F5" s="34"/>
      <c r="G5" s="34" t="s">
        <v>178</v>
      </c>
      <c r="H5" s="16" t="s">
        <v>183</v>
      </c>
    </row>
    <row r="6" customFormat="false" ht="43.5" hidden="false" customHeight="true" outlineLevel="0" collapsed="false">
      <c r="A6" s="32" t="s">
        <v>184</v>
      </c>
      <c r="B6" s="33" t="s">
        <v>185</v>
      </c>
      <c r="C6" s="16" t="s">
        <v>186</v>
      </c>
      <c r="D6" s="34"/>
      <c r="E6" s="34"/>
      <c r="F6" s="34"/>
      <c r="G6" s="34" t="s">
        <v>178</v>
      </c>
      <c r="H6" s="16" t="s">
        <v>187</v>
      </c>
    </row>
    <row r="7" customFormat="false" ht="43.5" hidden="false" customHeight="true" outlineLevel="0" collapsed="false">
      <c r="A7" s="32" t="s">
        <v>188</v>
      </c>
      <c r="B7" s="33" t="s">
        <v>189</v>
      </c>
      <c r="C7" s="16" t="s">
        <v>190</v>
      </c>
      <c r="D7" s="34"/>
      <c r="E7" s="34"/>
      <c r="F7" s="34"/>
      <c r="G7" s="34" t="s">
        <v>178</v>
      </c>
      <c r="H7" s="16" t="s">
        <v>191</v>
      </c>
    </row>
    <row r="9" customFormat="false" ht="15" hidden="false" customHeight="true" outlineLevel="0" collapsed="false">
      <c r="A9" s="12" t="s">
        <v>192</v>
      </c>
      <c r="B9" s="12"/>
      <c r="C9" s="12"/>
      <c r="D9" s="12"/>
      <c r="E9" s="12"/>
      <c r="F9" s="12"/>
      <c r="G9" s="12"/>
      <c r="H9" s="12"/>
    </row>
  </sheetData>
  <mergeCells count="3">
    <mergeCell ref="A1:H1"/>
    <mergeCell ref="A2:H2"/>
    <mergeCell ref="A9:H9"/>
  </mergeCells>
  <dataValidations count="1">
    <dataValidation allowBlank="true" errorStyle="stop" operator="between" showDropDown="false" showErrorMessage="false" showInputMessage="false" sqref="G4:G7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2026-07-28T13:41:35Z</dcterms:created>
  <dc:creator>openpyxl</dc:creator>
  <dc:description/>
  <dc:language>en-US</dc:language>
  <cp:lastModifiedBy/>
  <dcterms:modified xsi:type="dcterms:W3CDTF">2026-07-28T13:55:25Z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