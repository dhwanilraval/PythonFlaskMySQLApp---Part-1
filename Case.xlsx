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form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2855"/>
    </font>
    <font>
      <b val="1"/>
      <color rgb="00002855"/>
      <sz val="16"/>
    </font>
    <font>
      <i val="1"/>
      <color rgb="00595959"/>
      <sz val="10"/>
    </font>
    <font>
      <sz val="11"/>
    </font>
    <font>
      <b val="1"/>
      <color rgb="00002855"/>
      <sz val="13"/>
    </font>
    <font>
      <b val="1"/>
      <sz val="12"/>
    </font>
    <font>
      <b val="1"/>
      <color rgb="00FFFFFF"/>
      <sz val="10"/>
    </font>
    <font>
      <b val="1"/>
      <color rgb="00002855"/>
      <sz val="10"/>
    </font>
    <font>
      <b val="1"/>
      <color rgb="00002855"/>
      <sz val="9"/>
    </font>
    <font>
      <b val="1"/>
      <color rgb="00002855"/>
      <sz val="11"/>
    </font>
    <font>
      <i val="1"/>
      <color rgb="00595959"/>
      <sz val="9"/>
    </font>
    <font>
      <sz val="10"/>
    </font>
    <font>
      <b val="1"/>
      <sz val="10"/>
    </font>
  </fonts>
  <fills count="26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FEBE9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DCDB"/>
      </patternFill>
    </fill>
    <fill>
      <patternFill patternType="solid">
        <fgColor rgb="00D9D9D9"/>
      </patternFill>
    </fill>
    <fill>
      <patternFill patternType="solid">
        <fgColor rgb="00C9DAF0"/>
      </patternFill>
    </fill>
    <fill>
      <patternFill patternType="solid">
        <fgColor rgb="00EDEDED"/>
      </patternFill>
    </fill>
    <fill>
      <patternFill patternType="solid">
        <fgColor rgb="00002855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0" fillId="0" borderId="1" pivotButton="0" quotePrefix="0" xfId="0"/>
    <xf numFmtId="1" fontId="12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0" fillId="15" borderId="1" pivotButton="0" quotePrefix="0" xfId="0"/>
    <xf numFmtId="1" fontId="12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0" fillId="16" borderId="1" pivotButton="0" quotePrefix="0" xfId="0"/>
    <xf numFmtId="1" fontId="12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left" vertical="center"/>
    </xf>
    <xf numFmtId="0" fontId="0" fillId="17" borderId="1" pivotButton="0" quotePrefix="0" xfId="0"/>
    <xf numFmtId="1" fontId="12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0" fillId="18" borderId="1" pivotButton="0" quotePrefix="0" xfId="0"/>
    <xf numFmtId="1" fontId="12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left" vertical="center"/>
    </xf>
    <xf numFmtId="0" fontId="0" fillId="19" borderId="1" pivotButton="0" quotePrefix="0" xfId="0"/>
    <xf numFmtId="1" fontId="12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left" vertical="center"/>
    </xf>
    <xf numFmtId="0" fontId="0" fillId="20" borderId="1" pivotButton="0" quotePrefix="0" xfId="0"/>
    <xf numFmtId="1" fontId="12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0" fillId="21" borderId="1" pivotButton="0" quotePrefix="0" xfId="0"/>
    <xf numFmtId="1" fontId="12" fillId="2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right" vertical="center"/>
    </xf>
    <xf numFmtId="0" fontId="13" fillId="22" borderId="1" applyAlignment="1" pivotButton="0" quotePrefix="0" xfId="0">
      <alignment horizontal="center" vertical="center"/>
    </xf>
    <xf numFmtId="9" fontId="12" fillId="13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9" fontId="12" fillId="15" borderId="1" applyAlignment="1" pivotButton="0" quotePrefix="0" xfId="0">
      <alignment horizontal="center" vertical="center"/>
    </xf>
    <xf numFmtId="9" fontId="12" fillId="16" borderId="1" applyAlignment="1" pivotButton="0" quotePrefix="0" xfId="0">
      <alignment horizontal="center" vertical="center"/>
    </xf>
    <xf numFmtId="9" fontId="12" fillId="17" borderId="1" applyAlignment="1" pivotButton="0" quotePrefix="0" xfId="0">
      <alignment horizontal="center" vertical="center"/>
    </xf>
    <xf numFmtId="9" fontId="12" fillId="18" borderId="1" applyAlignment="1" pivotButton="0" quotePrefix="0" xfId="0">
      <alignment horizontal="center" vertical="center"/>
    </xf>
    <xf numFmtId="9" fontId="12" fillId="19" borderId="1" applyAlignment="1" pivotButton="0" quotePrefix="0" xfId="0">
      <alignment horizontal="center" vertical="center"/>
    </xf>
    <xf numFmtId="9" fontId="12" fillId="20" borderId="1" applyAlignment="1" pivotButton="0" quotePrefix="0" xfId="0">
      <alignment horizontal="center" vertical="center"/>
    </xf>
    <xf numFmtId="9" fontId="12" fillId="21" borderId="1" applyAlignment="1" pivotButton="0" quotePrefix="0" xfId="0">
      <alignment horizontal="center" vertical="center"/>
    </xf>
    <xf numFmtId="9" fontId="7" fillId="4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9" fontId="7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left" vertical="center"/>
    </xf>
    <xf numFmtId="0" fontId="0" fillId="23" borderId="1" pivotButton="0" quotePrefix="0" xfId="0"/>
    <xf numFmtId="1" fontId="2" fillId="23" borderId="1" applyAlignment="1" pivotButton="0" quotePrefix="0" xfId="0">
      <alignment horizontal="center" vertical="center"/>
    </xf>
    <xf numFmtId="9" fontId="2" fillId="2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0" fillId="24" borderId="1" applyAlignment="1" pivotButton="0" quotePrefix="0" xfId="0">
      <alignment horizontal="center" vertical="center" wrapText="1"/>
    </xf>
    <xf numFmtId="0" fontId="0" fillId="24" borderId="1" pivotButton="0" quotePrefix="0" xfId="0"/>
    <xf numFmtId="0" fontId="10" fillId="25" borderId="1" applyAlignment="1" pivotButton="0" quotePrefix="0" xfId="0">
      <alignment horizontal="center" vertical="center" wrapText="1"/>
    </xf>
    <xf numFmtId="0" fontId="0" fillId="25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002855"/>
      </font>
      <fill>
        <patternFill patternType="solid">
          <fgColor rgb="00DDEBF7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  <dxf>
      <font>
        <b val="1"/>
        <color rgb="00880E4F"/>
      </font>
      <fill>
        <patternFill patternType="solid">
          <fgColor rgb="00FCE4EC"/>
        </patternFill>
      </fill>
    </dxf>
    <dxf>
      <font>
        <b val="1"/>
        <color rgb="001B5E20"/>
      </font>
      <fill>
        <patternFill patternType="solid">
          <fgColor rgb="00E8F5E9"/>
        </patternFill>
      </fill>
    </dxf>
    <dxf>
      <font>
        <b val="1"/>
        <color rgb="004A148C"/>
      </font>
      <fill>
        <patternFill patternType="solid">
          <fgColor rgb="00F3E5F5"/>
        </patternFill>
      </fill>
    </dxf>
    <dxf>
      <font>
        <b val="1"/>
        <color rgb="00795548"/>
      </font>
      <fill>
        <patternFill patternType="solid">
          <fgColor rgb="00FFF8E1"/>
        </patternFill>
      </fill>
    </dxf>
    <dxf>
      <font>
        <b val="1"/>
        <color rgb="0001579B"/>
      </font>
      <fill>
        <patternFill patternType="solid">
          <fgColor rgb="00E1F5FE"/>
        </patternFill>
      </fill>
    </dxf>
    <dxf>
      <font>
        <b val="1"/>
        <color rgb="003E2723"/>
      </font>
      <fill>
        <patternFill patternType="solid">
          <fgColor rgb="00EFEBE9"/>
        </patternFill>
      </fill>
    </dxf>
    <dxf>
      <font>
        <b val="1"/>
        <color rgb="00004D40"/>
      </font>
      <fill>
        <patternFill patternType="solid">
          <fgColor rgb="00E0F2F1"/>
        </patternFill>
      </fill>
    </dxf>
    <dxf>
      <font>
        <b val="1"/>
        <color rgb="00BF360C"/>
      </font>
      <fill>
        <patternFill patternType="solid">
          <fgColor rgb="00FB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Zephyr vs Non-Zephyr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'Summary'!$A$15:$A$22</f>
            </numRef>
          </cat>
          <val>
            <numRef>
              <f>'Summary'!$D$15:$D$22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8" max="8"/>
    <col width="14" customWidth="1" min="9" max="9"/>
  </cols>
  <sheetData>
    <row r="1" ht="30" customHeight="1">
      <c r="A1" s="1" t="inlineStr">
        <is>
          <t>RBC Cloud Business Case Tracker</t>
        </is>
      </c>
    </row>
    <row r="2">
      <c r="A2" s="2" t="inlineStr">
        <is>
          <t>Platform × capability coverage · Zephyr vs non-Zephyr split · September 25, 2026</t>
        </is>
      </c>
    </row>
    <row r="4" ht="24" customHeight="1">
      <c r="A4" s="3" t="inlineStr">
        <is>
          <t>KEY METRICS</t>
        </is>
      </c>
    </row>
    <row r="5" ht="22" customHeight="1">
      <c r="A5" s="4" t="inlineStr">
        <is>
          <t>Total platforms</t>
        </is>
      </c>
      <c r="B5" s="5" t="inlineStr">
        <is>
          <t>88</t>
        </is>
      </c>
    </row>
    <row r="6" ht="22" customHeight="1">
      <c r="A6" s="4" t="inlineStr">
        <is>
          <t>Platforms named</t>
        </is>
      </c>
      <c r="B6" s="9">
        <f>COUNTA(Platforms!A5:A30,Platforms!A32:A45,Platforms!A47:A62,Platforms!A64:A69,Platforms!A71:A73,Platforms!A75:A92,Platforms!A94,Platforms!A96:A99)</f>
        <v/>
      </c>
    </row>
    <row r="7" ht="22" customHeight="1">
      <c r="A7" s="4" t="inlineStr">
        <is>
          <t>Capabilities in scope</t>
        </is>
      </c>
      <c r="B7" s="9">
        <f>Platforms!AY100</f>
        <v/>
      </c>
    </row>
    <row r="8" ht="22" customHeight="1">
      <c r="A8" s="4" t="inlineStr">
        <is>
          <t>Capabilities with Zephyr decision</t>
        </is>
      </c>
      <c r="B8" s="6">
        <f>COUNTA(Platforms!D3:AX3)</f>
        <v/>
      </c>
    </row>
    <row r="9" ht="22" customHeight="1">
      <c r="A9" s="4" t="inlineStr">
        <is>
          <t>Overall % via Zephyr</t>
        </is>
      </c>
      <c r="B9" s="77">
        <f>Platforms!AZ100</f>
        <v/>
      </c>
    </row>
    <row r="10" ht="22" customHeight="1">
      <c r="A10" s="4" t="inlineStr">
        <is>
          <t>Overall % outside Zephyr</t>
        </is>
      </c>
      <c r="B10" s="78">
        <f>Platforms!BA100</f>
        <v/>
      </c>
    </row>
    <row r="11" ht="22" customHeight="1">
      <c r="A11" s="4" t="inlineStr">
        <is>
          <t>Overall % undecided</t>
        </is>
      </c>
      <c r="B11" s="79">
        <f>Platforms!BB100</f>
        <v/>
      </c>
    </row>
    <row r="13" ht="24" customHeight="1">
      <c r="A13" s="3" t="inlineStr">
        <is>
          <t>BY CATEGORY</t>
        </is>
      </c>
    </row>
    <row r="14" ht="20" customHeight="1">
      <c r="A14" s="80" t="inlineStr">
        <is>
          <t>Category</t>
        </is>
      </c>
      <c r="B14" s="80" t="inlineStr">
        <is>
          <t>Platforms</t>
        </is>
      </c>
      <c r="C14" s="80" t="inlineStr">
        <is>
          <t>In scope</t>
        </is>
      </c>
      <c r="D14" s="80" t="inlineStr">
        <is>
          <t>% Zephyr</t>
        </is>
      </c>
      <c r="E14" s="80" t="inlineStr">
        <is>
          <t>% Non-Zephyr</t>
        </is>
      </c>
      <c r="F14" s="80" t="inlineStr">
        <is>
          <t>% Undecided</t>
        </is>
      </c>
    </row>
    <row r="15" ht="20" customHeight="1">
      <c r="A15" s="10" t="inlineStr">
        <is>
          <t>Application</t>
        </is>
      </c>
      <c r="B15" s="81" t="n">
        <v>26</v>
      </c>
      <c r="C15" s="82">
        <f>Platforms!AY4</f>
        <v/>
      </c>
      <c r="D15" s="83">
        <f>Platforms!AZ4</f>
        <v/>
      </c>
      <c r="E15" s="83">
        <f>Platforms!BA4</f>
        <v/>
      </c>
      <c r="F15" s="83">
        <f>Platforms!BB4</f>
        <v/>
      </c>
    </row>
    <row r="16" ht="20" customHeight="1">
      <c r="A16" s="10" t="inlineStr">
        <is>
          <t>Connectivity</t>
        </is>
      </c>
      <c r="B16" s="81" t="n">
        <v>14</v>
      </c>
      <c r="C16" s="82">
        <f>Platforms!AY31</f>
        <v/>
      </c>
      <c r="D16" s="83">
        <f>Platforms!AZ31</f>
        <v/>
      </c>
      <c r="E16" s="83">
        <f>Platforms!BA31</f>
        <v/>
      </c>
      <c r="F16" s="83">
        <f>Platforms!BB31</f>
        <v/>
      </c>
    </row>
    <row r="17" ht="20" customHeight="1">
      <c r="A17" s="10" t="inlineStr">
        <is>
          <t>Data</t>
        </is>
      </c>
      <c r="B17" s="81" t="n">
        <v>16</v>
      </c>
      <c r="C17" s="82">
        <f>Platforms!AY46</f>
        <v/>
      </c>
      <c r="D17" s="83">
        <f>Platforms!AZ46</f>
        <v/>
      </c>
      <c r="E17" s="83">
        <f>Platforms!BA46</f>
        <v/>
      </c>
      <c r="F17" s="83">
        <f>Platforms!BB46</f>
        <v/>
      </c>
    </row>
    <row r="18" ht="20" customHeight="1">
      <c r="A18" s="10" t="inlineStr">
        <is>
          <t>Storage</t>
        </is>
      </c>
      <c r="B18" s="81" t="n">
        <v>6</v>
      </c>
      <c r="C18" s="82">
        <f>Platforms!AY63</f>
        <v/>
      </c>
      <c r="D18" s="83">
        <f>Platforms!AZ63</f>
        <v/>
      </c>
      <c r="E18" s="83">
        <f>Platforms!BA63</f>
        <v/>
      </c>
      <c r="F18" s="83">
        <f>Platforms!BB63</f>
        <v/>
      </c>
    </row>
    <row r="19" ht="20" customHeight="1">
      <c r="A19" s="10" t="inlineStr">
        <is>
          <t>Operations</t>
        </is>
      </c>
      <c r="B19" s="81" t="n">
        <v>3</v>
      </c>
      <c r="C19" s="82">
        <f>Platforms!AY70</f>
        <v/>
      </c>
      <c r="D19" s="83">
        <f>Platforms!AZ70</f>
        <v/>
      </c>
      <c r="E19" s="83">
        <f>Platforms!BA70</f>
        <v/>
      </c>
      <c r="F19" s="83">
        <f>Platforms!BB70</f>
        <v/>
      </c>
    </row>
    <row r="20" ht="20" customHeight="1">
      <c r="A20" s="10" t="inlineStr">
        <is>
          <t>Compute</t>
        </is>
      </c>
      <c r="B20" s="81" t="n">
        <v>18</v>
      </c>
      <c r="C20" s="82">
        <f>Platforms!AY74</f>
        <v/>
      </c>
      <c r="D20" s="83">
        <f>Platforms!AZ74</f>
        <v/>
      </c>
      <c r="E20" s="83">
        <f>Platforms!BA74</f>
        <v/>
      </c>
      <c r="F20" s="83">
        <f>Platforms!BB74</f>
        <v/>
      </c>
    </row>
    <row r="21" ht="20" customHeight="1">
      <c r="A21" s="10" t="inlineStr">
        <is>
          <t>Client Computing</t>
        </is>
      </c>
      <c r="B21" s="81" t="n">
        <v>1</v>
      </c>
      <c r="C21" s="82">
        <f>Platforms!AY93</f>
        <v/>
      </c>
      <c r="D21" s="83">
        <f>Platforms!AZ93</f>
        <v/>
      </c>
      <c r="E21" s="83">
        <f>Platforms!BA93</f>
        <v/>
      </c>
      <c r="F21" s="83">
        <f>Platforms!BB93</f>
        <v/>
      </c>
    </row>
    <row r="22" ht="20" customHeight="1">
      <c r="A22" s="10" t="inlineStr">
        <is>
          <t>Mainframe</t>
        </is>
      </c>
      <c r="B22" s="81" t="n">
        <v>4</v>
      </c>
      <c r="C22" s="82">
        <f>Platforms!AY95</f>
        <v/>
      </c>
      <c r="D22" s="83">
        <f>Platforms!AZ95</f>
        <v/>
      </c>
      <c r="E22" s="83">
        <f>Platforms!BA95</f>
        <v/>
      </c>
      <c r="F22" s="83">
        <f>Platforms!BB95</f>
        <v/>
      </c>
    </row>
    <row r="24" ht="36" customHeight="1">
      <c r="A24" s="12" t="inlineStr">
        <is>
          <t>How to use: set each capability's Zephyr decision on the Platforms helper row, mark Yes / No / TBD per platform, and the splits roll up automatically. Planned next: hours-saved tracking (Before / After Zephyr hours).</t>
        </is>
      </c>
    </row>
  </sheetData>
  <mergeCells count="5">
    <mergeCell ref="A4:B4"/>
    <mergeCell ref="A2:F2"/>
    <mergeCell ref="A24:F24"/>
    <mergeCell ref="A13:F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1"/>
    <pageSetUpPr fitToPage="1"/>
  </sheetPr>
  <dimension ref="A1:BB10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1" customWidth="1" min="51" max="51"/>
    <col width="13" customWidth="1" min="52" max="52"/>
    <col width="13" customWidth="1" min="53" max="53"/>
    <col width="13" customWidth="1" min="54" max="54"/>
  </cols>
  <sheetData>
    <row r="1" ht="24" customHeight="1">
      <c r="A1" s="21" t="inlineStr">
        <is>
          <t>Platform Details</t>
        </is>
      </c>
      <c r="B1" s="22" t="n"/>
      <c r="C1" s="22" t="n"/>
      <c r="D1" s="23" t="inlineStr">
        <is>
          <t>Onboarding</t>
        </is>
      </c>
      <c r="E1" s="24" t="n"/>
      <c r="F1" s="25" t="inlineStr">
        <is>
          <t>Provisioning</t>
        </is>
      </c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7" t="inlineStr">
        <is>
          <t>Management</t>
        </is>
      </c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9" t="inlineStr">
        <is>
          <t>Optimization</t>
        </is>
      </c>
      <c r="AF1" s="30" t="n"/>
      <c r="AG1" s="30" t="n"/>
      <c r="AH1" s="30" t="n"/>
      <c r="AI1" s="30" t="n"/>
      <c r="AJ1" s="30" t="n"/>
      <c r="AK1" s="31" t="inlineStr">
        <is>
          <t>Compliance</t>
        </is>
      </c>
      <c r="AL1" s="90" t="inlineStr">
        <is>
          <t>Lifecycle</t>
        </is>
      </c>
      <c r="AM1" s="91" t="n"/>
      <c r="AN1" s="91" t="n"/>
      <c r="AO1" s="91" t="n"/>
      <c r="AP1" s="91" t="n"/>
      <c r="AQ1" s="92" t="inlineStr">
        <is>
          <t>Security</t>
        </is>
      </c>
      <c r="AR1" s="93" t="n"/>
      <c r="AS1" s="93" t="n"/>
      <c r="AT1" s="93" t="n"/>
      <c r="AU1" s="94" t="inlineStr">
        <is>
          <t>Observability</t>
        </is>
      </c>
      <c r="AV1" s="95" t="n"/>
      <c r="AW1" s="95" t="n"/>
      <c r="AX1" s="95" t="n"/>
      <c r="AY1" s="21" t="inlineStr">
        <is>
          <t>Total</t>
        </is>
      </c>
      <c r="AZ1" s="21" t="inlineStr">
        <is>
          <t>Zephyr vs Non-Zephyr</t>
        </is>
      </c>
      <c r="BA1" s="22" t="n"/>
      <c r="BB1" s="22" t="n"/>
    </row>
    <row r="2" ht="62" customHeight="1">
      <c r="A2" s="21" t="inlineStr">
        <is>
          <t>Platform Name</t>
        </is>
      </c>
      <c r="B2" s="21" t="inlineStr">
        <is>
          <t>Service Name</t>
        </is>
      </c>
      <c r="C2" s="21" t="inlineStr">
        <is>
          <t>Rollout Status</t>
        </is>
      </c>
      <c r="D2" s="32" t="inlineStr">
        <is>
          <t>Onboarding Consultations</t>
        </is>
      </c>
      <c r="E2" s="32" t="inlineStr">
        <is>
          <t>Onboarding Approvals</t>
        </is>
      </c>
      <c r="F2" s="33" t="inlineStr">
        <is>
          <t>Procure Infras</t>
        </is>
      </c>
      <c r="G2" s="33" t="inlineStr">
        <is>
          <t>Rack and Stack in DC</t>
        </is>
      </c>
      <c r="H2" s="33" t="inlineStr">
        <is>
          <t>Provision OS</t>
        </is>
      </c>
      <c r="I2" s="33" t="inlineStr">
        <is>
          <t>Request Access (AD or Sudo)</t>
        </is>
      </c>
      <c r="J2" s="33" t="inlineStr">
        <is>
          <t>Virtual Compute Provisioning</t>
        </is>
      </c>
      <c r="K2" s="33" t="inlineStr">
        <is>
          <t>Software Install (DB, Middleware etc)</t>
        </is>
      </c>
      <c r="L2" s="33" t="inlineStr">
        <is>
          <t>Backups</t>
        </is>
      </c>
      <c r="M2" s="33" t="inlineStr">
        <is>
          <t>Vulnerability (Find latest version)</t>
        </is>
      </c>
      <c r="N2" s="33" t="inlineStr">
        <is>
          <t>TSS Hardening</t>
        </is>
      </c>
      <c r="O2" s="33" t="inlineStr">
        <is>
          <t>Encryption</t>
        </is>
      </c>
      <c r="P2" s="33" t="inlineStr">
        <is>
          <t>Logging/Auditing</t>
        </is>
      </c>
      <c r="Q2" s="33" t="inlineStr">
        <is>
          <t>Resource Tagging</t>
        </is>
      </c>
      <c r="R2" s="33" t="inlineStr">
        <is>
          <t>Activity Monitoring</t>
        </is>
      </c>
      <c r="S2" s="33" t="inlineStr">
        <is>
          <t>ITAM Onboarding</t>
        </is>
      </c>
      <c r="T2" s="34" t="inlineStr">
        <is>
          <t>ITAM Reconciliation</t>
        </is>
      </c>
      <c r="U2" s="34" t="inlineStr">
        <is>
          <t>DR Failover &amp; Validation</t>
        </is>
      </c>
      <c r="V2" s="34" t="inlineStr">
        <is>
          <t>Healthchecks</t>
        </is>
      </c>
      <c r="W2" s="34" t="inlineStr">
        <is>
          <t>Version/EoL Upgrades</t>
        </is>
      </c>
      <c r="X2" s="34" t="inlineStr">
        <is>
          <t>DR Tests (Graceful Failover)</t>
        </is>
      </c>
      <c r="Y2" s="34" t="inlineStr">
        <is>
          <t>TSS Reporting</t>
        </is>
      </c>
      <c r="Z2" s="34" t="inlineStr">
        <is>
          <t>Vulnerability Patching</t>
        </is>
      </c>
      <c r="AA2" s="34" t="inlineStr">
        <is>
          <t>Restore Tests</t>
        </is>
      </c>
      <c r="AB2" s="34" t="inlineStr">
        <is>
          <t>IAM Attestations</t>
        </is>
      </c>
      <c r="AC2" s="34" t="inlineStr">
        <is>
          <t>Process Documentation</t>
        </is>
      </c>
      <c r="AD2" s="34" t="inlineStr">
        <is>
          <t>Migrations</t>
        </is>
      </c>
      <c r="AE2" s="35" t="inlineStr">
        <is>
          <t>Observability</t>
        </is>
      </c>
      <c r="AF2" s="35" t="inlineStr">
        <is>
          <t>Utilization Reports</t>
        </is>
      </c>
      <c r="AG2" s="35" t="inlineStr">
        <is>
          <t>Metrics Collection</t>
        </is>
      </c>
      <c r="AH2" s="35" t="inlineStr">
        <is>
          <t>Right Sizing &amp; Auto Scaling</t>
        </is>
      </c>
      <c r="AI2" s="35" t="inlineStr">
        <is>
          <t>Eliminate redundant platforms</t>
        </is>
      </c>
      <c r="AJ2" s="35" t="inlineStr">
        <is>
          <t>FinOps Optimization</t>
        </is>
      </c>
      <c r="AK2" s="36" t="inlineStr">
        <is>
          <t>Centralized Compliance Visibility</t>
        </is>
      </c>
      <c r="AL2" s="96" t="inlineStr">
        <is>
          <t>Provisioning</t>
        </is>
      </c>
      <c r="AM2" s="96" t="inlineStr">
        <is>
          <t>Patch Execution</t>
        </is>
      </c>
      <c r="AN2" s="96" t="inlineStr">
        <is>
          <t>Scaling</t>
        </is>
      </c>
      <c r="AO2" s="96" t="inlineStr">
        <is>
          <t>Decommissioning</t>
        </is>
      </c>
      <c r="AP2" s="96" t="inlineStr">
        <is>
          <t>Backup &amp; Restores</t>
        </is>
      </c>
      <c r="AQ2" s="97" t="inlineStr">
        <is>
          <t>IAM / PAM</t>
        </is>
      </c>
      <c r="AR2" s="97" t="inlineStr">
        <is>
          <t>Encryption Standards</t>
        </is>
      </c>
      <c r="AS2" s="97" t="inlineStr">
        <is>
          <t>Encryption (TDS/Imperva)</t>
        </is>
      </c>
      <c r="AT2" s="97" t="inlineStr">
        <is>
          <t>Secrets Mgmt</t>
        </is>
      </c>
      <c r="AU2" s="98" t="inlineStr">
        <is>
          <t>Monitoring</t>
        </is>
      </c>
      <c r="AV2" s="98" t="inlineStr">
        <is>
          <t>Logging</t>
        </is>
      </c>
      <c r="AW2" s="98" t="inlineStr">
        <is>
          <t>Distributed Tracing</t>
        </is>
      </c>
      <c r="AX2" s="98" t="inlineStr">
        <is>
          <t>Alerting</t>
        </is>
      </c>
      <c r="AY2" s="21" t="inlineStr">
        <is>
          <t>In scope</t>
        </is>
      </c>
      <c r="AZ2" s="21" t="inlineStr">
        <is>
          <t>% via Zephyr</t>
        </is>
      </c>
      <c r="BA2" s="21" t="inlineStr">
        <is>
          <t>% outside Zephyr</t>
        </is>
      </c>
      <c r="BB2" s="21" t="inlineStr">
        <is>
          <t>% undecided</t>
        </is>
      </c>
    </row>
    <row r="3" ht="20" customHeight="1">
      <c r="A3" s="66" t="inlineStr">
        <is>
          <t>Zephyr decision →</t>
        </is>
      </c>
      <c r="B3" s="39" t="n"/>
      <c r="C3" s="39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4" t="n"/>
      <c r="AC3" s="84" t="n"/>
      <c r="AD3" s="84" t="n"/>
      <c r="AE3" s="84" t="n"/>
      <c r="AF3" s="84" t="n"/>
      <c r="AG3" s="84" t="n"/>
      <c r="AH3" s="84" t="n"/>
      <c r="AI3" s="84" t="n"/>
      <c r="AJ3" s="84" t="n"/>
      <c r="AK3" s="84" t="n"/>
      <c r="AL3" s="84" t="n"/>
      <c r="AM3" s="84" t="n"/>
      <c r="AN3" s="84" t="n"/>
      <c r="AO3" s="84" t="n"/>
      <c r="AP3" s="84" t="n"/>
      <c r="AQ3" s="84" t="n"/>
      <c r="AR3" s="84" t="n"/>
      <c r="AS3" s="84" t="n"/>
      <c r="AT3" s="84" t="n"/>
      <c r="AU3" s="84" t="n"/>
      <c r="AV3" s="84" t="n"/>
      <c r="AW3" s="84" t="n"/>
      <c r="AX3" s="84" t="n"/>
      <c r="AY3" s="39" t="n"/>
      <c r="AZ3" s="39" t="n"/>
      <c r="BA3" s="39" t="n"/>
      <c r="BB3" s="39" t="n"/>
    </row>
    <row r="4" ht="24" customHeight="1">
      <c r="A4" s="37" t="inlineStr">
        <is>
          <t>Application (26 platforms)</t>
        </is>
      </c>
      <c r="B4" s="38" t="n"/>
      <c r="C4" s="38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AY4" s="40">
        <f>SUM(AY5:AY30)</f>
        <v/>
      </c>
      <c r="AZ4" s="68">
        <f>IF($AY4=0,"",SUMPRODUCT($AZ5:$AZ30,$AY5:$AY30)/$AY4)</f>
        <v/>
      </c>
      <c r="BA4" s="68">
        <f>IF($AY4=0,"",SUMPRODUCT($BA5:$BA30,$AY5:$AY30)/$AY4)</f>
        <v/>
      </c>
      <c r="BB4" s="68">
        <f>IF($AY4=0,"",1-$AZ4-$BA4)</f>
        <v/>
      </c>
    </row>
    <row r="5" outlineLevel="1" ht="20" customHeight="1">
      <c r="A5" s="41" t="n"/>
      <c r="B5" s="41" t="n"/>
      <c r="C5" s="41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18">
        <f>COUNTIF(D5:AX5,"Yes")</f>
        <v/>
      </c>
      <c r="AZ5" s="69">
        <f>IF($AY5=0,"",SUMPRODUCT(($D5:$AX5="Yes")*($D$3:$AX$3="Expose via Zephyr"))/$AY5)</f>
        <v/>
      </c>
      <c r="BA5" s="69">
        <f>IF($AY5=0,"",SUMPRODUCT(($D5:$AX5="Yes")*($D$3:$AX$3="Deliver outside Zephyr"))/$AY5)</f>
        <v/>
      </c>
      <c r="BB5" s="69">
        <f>IF($AY5=0,"",1-$AZ5-$BA5)</f>
        <v/>
      </c>
    </row>
    <row r="6" outlineLevel="1" ht="20" customHeight="1">
      <c r="A6" s="41" t="n"/>
      <c r="B6" s="41" t="n"/>
      <c r="C6" s="41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2" t="n"/>
      <c r="AQ6" s="42" t="n"/>
      <c r="AR6" s="42" t="n"/>
      <c r="AS6" s="42" t="n"/>
      <c r="AT6" s="42" t="n"/>
      <c r="AU6" s="42" t="n"/>
      <c r="AV6" s="42" t="n"/>
      <c r="AW6" s="42" t="n"/>
      <c r="AX6" s="42" t="n"/>
      <c r="AY6" s="18">
        <f>COUNTIF(D6:AX6,"Yes")</f>
        <v/>
      </c>
      <c r="AZ6" s="69">
        <f>IF($AY6=0,"",SUMPRODUCT(($D6:$AX6="Yes")*($D$3:$AX$3="Expose via Zephyr"))/$AY6)</f>
        <v/>
      </c>
      <c r="BA6" s="69">
        <f>IF($AY6=0,"",SUMPRODUCT(($D6:$AX6="Yes")*($D$3:$AX$3="Deliver outside Zephyr"))/$AY6)</f>
        <v/>
      </c>
      <c r="BB6" s="69">
        <f>IF($AY6=0,"",1-$AZ6-$BA6)</f>
        <v/>
      </c>
    </row>
    <row r="7" outlineLevel="1" ht="20" customHeight="1">
      <c r="A7" s="41" t="n"/>
      <c r="B7" s="41" t="n"/>
      <c r="C7" s="41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18">
        <f>COUNTIF(D7:AX7,"Yes")</f>
        <v/>
      </c>
      <c r="AZ7" s="69">
        <f>IF($AY7=0,"",SUMPRODUCT(($D7:$AX7="Yes")*($D$3:$AX$3="Expose via Zephyr"))/$AY7)</f>
        <v/>
      </c>
      <c r="BA7" s="69">
        <f>IF($AY7=0,"",SUMPRODUCT(($D7:$AX7="Yes")*($D$3:$AX$3="Deliver outside Zephyr"))/$AY7)</f>
        <v/>
      </c>
      <c r="BB7" s="69">
        <f>IF($AY7=0,"",1-$AZ7-$BA7)</f>
        <v/>
      </c>
    </row>
    <row r="8" outlineLevel="1" ht="20" customHeight="1">
      <c r="A8" s="41" t="n"/>
      <c r="B8" s="41" t="n"/>
      <c r="C8" s="41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18">
        <f>COUNTIF(D8:AX8,"Yes")</f>
        <v/>
      </c>
      <c r="AZ8" s="69">
        <f>IF($AY8=0,"",SUMPRODUCT(($D8:$AX8="Yes")*($D$3:$AX$3="Expose via Zephyr"))/$AY8)</f>
        <v/>
      </c>
      <c r="BA8" s="69">
        <f>IF($AY8=0,"",SUMPRODUCT(($D8:$AX8="Yes")*($D$3:$AX$3="Deliver outside Zephyr"))/$AY8)</f>
        <v/>
      </c>
      <c r="BB8" s="69">
        <f>IF($AY8=0,"",1-$AZ8-$BA8)</f>
        <v/>
      </c>
    </row>
    <row r="9" outlineLevel="1" ht="20" customHeight="1">
      <c r="A9" s="41" t="n"/>
      <c r="B9" s="41" t="n"/>
      <c r="C9" s="41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2" t="n"/>
      <c r="AO9" s="42" t="n"/>
      <c r="AP9" s="42" t="n"/>
      <c r="AQ9" s="42" t="n"/>
      <c r="AR9" s="42" t="n"/>
      <c r="AS9" s="42" t="n"/>
      <c r="AT9" s="42" t="n"/>
      <c r="AU9" s="42" t="n"/>
      <c r="AV9" s="42" t="n"/>
      <c r="AW9" s="42" t="n"/>
      <c r="AX9" s="42" t="n"/>
      <c r="AY9" s="18">
        <f>COUNTIF(D9:AX9,"Yes")</f>
        <v/>
      </c>
      <c r="AZ9" s="69">
        <f>IF($AY9=0,"",SUMPRODUCT(($D9:$AX9="Yes")*($D$3:$AX$3="Expose via Zephyr"))/$AY9)</f>
        <v/>
      </c>
      <c r="BA9" s="69">
        <f>IF($AY9=0,"",SUMPRODUCT(($D9:$AX9="Yes")*($D$3:$AX$3="Deliver outside Zephyr"))/$AY9)</f>
        <v/>
      </c>
      <c r="BB9" s="69">
        <f>IF($AY9=0,"",1-$AZ9-$BA9)</f>
        <v/>
      </c>
    </row>
    <row r="10" outlineLevel="1" ht="20" customHeight="1">
      <c r="A10" s="41" t="n"/>
      <c r="B10" s="41" t="n"/>
      <c r="C10" s="41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18">
        <f>COUNTIF(D10:AX10,"Yes")</f>
        <v/>
      </c>
      <c r="AZ10" s="69">
        <f>IF($AY10=0,"",SUMPRODUCT(($D10:$AX10="Yes")*($D$3:$AX$3="Expose via Zephyr"))/$AY10)</f>
        <v/>
      </c>
      <c r="BA10" s="69">
        <f>IF($AY10=0,"",SUMPRODUCT(($D10:$AX10="Yes")*($D$3:$AX$3="Deliver outside Zephyr"))/$AY10)</f>
        <v/>
      </c>
      <c r="BB10" s="69">
        <f>IF($AY10=0,"",1-$AZ10-$BA10)</f>
        <v/>
      </c>
    </row>
    <row r="11" outlineLevel="1" ht="20" customHeight="1">
      <c r="A11" s="41" t="n"/>
      <c r="B11" s="41" t="n"/>
      <c r="C11" s="41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18">
        <f>COUNTIF(D11:AX11,"Yes")</f>
        <v/>
      </c>
      <c r="AZ11" s="69">
        <f>IF($AY11=0,"",SUMPRODUCT(($D11:$AX11="Yes")*($D$3:$AX$3="Expose via Zephyr"))/$AY11)</f>
        <v/>
      </c>
      <c r="BA11" s="69">
        <f>IF($AY11=0,"",SUMPRODUCT(($D11:$AX11="Yes")*($D$3:$AX$3="Deliver outside Zephyr"))/$AY11)</f>
        <v/>
      </c>
      <c r="BB11" s="69">
        <f>IF($AY11=0,"",1-$AZ11-$BA11)</f>
        <v/>
      </c>
    </row>
    <row r="12" outlineLevel="1" ht="20" customHeight="1">
      <c r="A12" s="41" t="n"/>
      <c r="B12" s="41" t="n"/>
      <c r="C12" s="41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2" t="n"/>
      <c r="AX12" s="42" t="n"/>
      <c r="AY12" s="18">
        <f>COUNTIF(D12:AX12,"Yes")</f>
        <v/>
      </c>
      <c r="AZ12" s="69">
        <f>IF($AY12=0,"",SUMPRODUCT(($D12:$AX12="Yes")*($D$3:$AX$3="Expose via Zephyr"))/$AY12)</f>
        <v/>
      </c>
      <c r="BA12" s="69">
        <f>IF($AY12=0,"",SUMPRODUCT(($D12:$AX12="Yes")*($D$3:$AX$3="Deliver outside Zephyr"))/$AY12)</f>
        <v/>
      </c>
      <c r="BB12" s="69">
        <f>IF($AY12=0,"",1-$AZ12-$BA12)</f>
        <v/>
      </c>
    </row>
    <row r="13" outlineLevel="1" ht="20" customHeight="1">
      <c r="A13" s="41" t="n"/>
      <c r="B13" s="41" t="n"/>
      <c r="C13" s="41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2" t="n"/>
      <c r="AH13" s="42" t="n"/>
      <c r="AI13" s="42" t="n"/>
      <c r="AJ13" s="42" t="n"/>
      <c r="AK13" s="42" t="n"/>
      <c r="AL13" s="42" t="n"/>
      <c r="AM13" s="42" t="n"/>
      <c r="AN13" s="42" t="n"/>
      <c r="AO13" s="42" t="n"/>
      <c r="AP13" s="42" t="n"/>
      <c r="AQ13" s="42" t="n"/>
      <c r="AR13" s="42" t="n"/>
      <c r="AS13" s="42" t="n"/>
      <c r="AT13" s="42" t="n"/>
      <c r="AU13" s="42" t="n"/>
      <c r="AV13" s="42" t="n"/>
      <c r="AW13" s="42" t="n"/>
      <c r="AX13" s="42" t="n"/>
      <c r="AY13" s="18">
        <f>COUNTIF(D13:AX13,"Yes")</f>
        <v/>
      </c>
      <c r="AZ13" s="69">
        <f>IF($AY13=0,"",SUMPRODUCT(($D13:$AX13="Yes")*($D$3:$AX$3="Expose via Zephyr"))/$AY13)</f>
        <v/>
      </c>
      <c r="BA13" s="69">
        <f>IF($AY13=0,"",SUMPRODUCT(($D13:$AX13="Yes")*($D$3:$AX$3="Deliver outside Zephyr"))/$AY13)</f>
        <v/>
      </c>
      <c r="BB13" s="69">
        <f>IF($AY13=0,"",1-$AZ13-$BA13)</f>
        <v/>
      </c>
    </row>
    <row r="14" outlineLevel="1" ht="20" customHeight="1">
      <c r="A14" s="41" t="n"/>
      <c r="B14" s="41" t="n"/>
      <c r="C14" s="41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18">
        <f>COUNTIF(D14:AX14,"Yes")</f>
        <v/>
      </c>
      <c r="AZ14" s="69">
        <f>IF($AY14=0,"",SUMPRODUCT(($D14:$AX14="Yes")*($D$3:$AX$3="Expose via Zephyr"))/$AY14)</f>
        <v/>
      </c>
      <c r="BA14" s="69">
        <f>IF($AY14=0,"",SUMPRODUCT(($D14:$AX14="Yes")*($D$3:$AX$3="Deliver outside Zephyr"))/$AY14)</f>
        <v/>
      </c>
      <c r="BB14" s="69">
        <f>IF($AY14=0,"",1-$AZ14-$BA14)</f>
        <v/>
      </c>
    </row>
    <row r="15" outlineLevel="1" ht="20" customHeight="1">
      <c r="A15" s="41" t="n"/>
      <c r="B15" s="41" t="n"/>
      <c r="C15" s="41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2" t="n"/>
      <c r="AV15" s="42" t="n"/>
      <c r="AW15" s="42" t="n"/>
      <c r="AX15" s="42" t="n"/>
      <c r="AY15" s="18">
        <f>COUNTIF(D15:AX15,"Yes")</f>
        <v/>
      </c>
      <c r="AZ15" s="69">
        <f>IF($AY15=0,"",SUMPRODUCT(($D15:$AX15="Yes")*($D$3:$AX$3="Expose via Zephyr"))/$AY15)</f>
        <v/>
      </c>
      <c r="BA15" s="69">
        <f>IF($AY15=0,"",SUMPRODUCT(($D15:$AX15="Yes")*($D$3:$AX$3="Deliver outside Zephyr"))/$AY15)</f>
        <v/>
      </c>
      <c r="BB15" s="69">
        <f>IF($AY15=0,"",1-$AZ15-$BA15)</f>
        <v/>
      </c>
    </row>
    <row r="16" outlineLevel="1" ht="20" customHeight="1">
      <c r="A16" s="41" t="n"/>
      <c r="B16" s="41" t="n"/>
      <c r="C16" s="41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18">
        <f>COUNTIF(D16:AX16,"Yes")</f>
        <v/>
      </c>
      <c r="AZ16" s="69">
        <f>IF($AY16=0,"",SUMPRODUCT(($D16:$AX16="Yes")*($D$3:$AX$3="Expose via Zephyr"))/$AY16)</f>
        <v/>
      </c>
      <c r="BA16" s="69">
        <f>IF($AY16=0,"",SUMPRODUCT(($D16:$AX16="Yes")*($D$3:$AX$3="Deliver outside Zephyr"))/$AY16)</f>
        <v/>
      </c>
      <c r="BB16" s="69">
        <f>IF($AY16=0,"",1-$AZ16-$BA16)</f>
        <v/>
      </c>
    </row>
    <row r="17" outlineLevel="1" ht="20" customHeight="1">
      <c r="A17" s="41" t="n"/>
      <c r="B17" s="41" t="n"/>
      <c r="C17" s="41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42" t="n"/>
      <c r="AV17" s="42" t="n"/>
      <c r="AW17" s="42" t="n"/>
      <c r="AX17" s="42" t="n"/>
      <c r="AY17" s="18">
        <f>COUNTIF(D17:AX17,"Yes")</f>
        <v/>
      </c>
      <c r="AZ17" s="69">
        <f>IF($AY17=0,"",SUMPRODUCT(($D17:$AX17="Yes")*($D$3:$AX$3="Expose via Zephyr"))/$AY17)</f>
        <v/>
      </c>
      <c r="BA17" s="69">
        <f>IF($AY17=0,"",SUMPRODUCT(($D17:$AX17="Yes")*($D$3:$AX$3="Deliver outside Zephyr"))/$AY17)</f>
        <v/>
      </c>
      <c r="BB17" s="69">
        <f>IF($AY17=0,"",1-$AZ17-$BA17)</f>
        <v/>
      </c>
    </row>
    <row r="18" outlineLevel="1" ht="20" customHeight="1">
      <c r="A18" s="41" t="n"/>
      <c r="B18" s="41" t="n"/>
      <c r="C18" s="41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2" t="n"/>
      <c r="AV18" s="42" t="n"/>
      <c r="AW18" s="42" t="n"/>
      <c r="AX18" s="42" t="n"/>
      <c r="AY18" s="18">
        <f>COUNTIF(D18:AX18,"Yes")</f>
        <v/>
      </c>
      <c r="AZ18" s="69">
        <f>IF($AY18=0,"",SUMPRODUCT(($D18:$AX18="Yes")*($D$3:$AX$3="Expose via Zephyr"))/$AY18)</f>
        <v/>
      </c>
      <c r="BA18" s="69">
        <f>IF($AY18=0,"",SUMPRODUCT(($D18:$AX18="Yes")*($D$3:$AX$3="Deliver outside Zephyr"))/$AY18)</f>
        <v/>
      </c>
      <c r="BB18" s="69">
        <f>IF($AY18=0,"",1-$AZ18-$BA18)</f>
        <v/>
      </c>
    </row>
    <row r="19" outlineLevel="1" ht="20" customHeight="1">
      <c r="A19" s="41" t="n"/>
      <c r="B19" s="41" t="n"/>
      <c r="C19" s="41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18">
        <f>COUNTIF(D19:AX19,"Yes")</f>
        <v/>
      </c>
      <c r="AZ19" s="69">
        <f>IF($AY19=0,"",SUMPRODUCT(($D19:$AX19="Yes")*($D$3:$AX$3="Expose via Zephyr"))/$AY19)</f>
        <v/>
      </c>
      <c r="BA19" s="69">
        <f>IF($AY19=0,"",SUMPRODUCT(($D19:$AX19="Yes")*($D$3:$AX$3="Deliver outside Zephyr"))/$AY19)</f>
        <v/>
      </c>
      <c r="BB19" s="69">
        <f>IF($AY19=0,"",1-$AZ19-$BA19)</f>
        <v/>
      </c>
    </row>
    <row r="20" outlineLevel="1" ht="20" customHeight="1">
      <c r="A20" s="41" t="n"/>
      <c r="B20" s="41" t="n"/>
      <c r="C20" s="41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2" t="n"/>
      <c r="AV20" s="42" t="n"/>
      <c r="AW20" s="42" t="n"/>
      <c r="AX20" s="42" t="n"/>
      <c r="AY20" s="18">
        <f>COUNTIF(D20:AX20,"Yes")</f>
        <v/>
      </c>
      <c r="AZ20" s="69">
        <f>IF($AY20=0,"",SUMPRODUCT(($D20:$AX20="Yes")*($D$3:$AX$3="Expose via Zephyr"))/$AY20)</f>
        <v/>
      </c>
      <c r="BA20" s="69">
        <f>IF($AY20=0,"",SUMPRODUCT(($D20:$AX20="Yes")*($D$3:$AX$3="Deliver outside Zephyr"))/$AY20)</f>
        <v/>
      </c>
      <c r="BB20" s="69">
        <f>IF($AY20=0,"",1-$AZ20-$BA20)</f>
        <v/>
      </c>
    </row>
    <row r="21" outlineLevel="1" ht="20" customHeight="1">
      <c r="A21" s="41" t="n"/>
      <c r="B21" s="41" t="n"/>
      <c r="C21" s="41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18">
        <f>COUNTIF(D21:AX21,"Yes")</f>
        <v/>
      </c>
      <c r="AZ21" s="69">
        <f>IF($AY21=0,"",SUMPRODUCT(($D21:$AX21="Yes")*($D$3:$AX$3="Expose via Zephyr"))/$AY21)</f>
        <v/>
      </c>
      <c r="BA21" s="69">
        <f>IF($AY21=0,"",SUMPRODUCT(($D21:$AX21="Yes")*($D$3:$AX$3="Deliver outside Zephyr"))/$AY21)</f>
        <v/>
      </c>
      <c r="BB21" s="69">
        <f>IF($AY21=0,"",1-$AZ21-$BA21)</f>
        <v/>
      </c>
    </row>
    <row r="22" outlineLevel="1" ht="20" customHeight="1">
      <c r="A22" s="41" t="n"/>
      <c r="B22" s="41" t="n"/>
      <c r="C22" s="41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18">
        <f>COUNTIF(D22:AX22,"Yes")</f>
        <v/>
      </c>
      <c r="AZ22" s="69">
        <f>IF($AY22=0,"",SUMPRODUCT(($D22:$AX22="Yes")*($D$3:$AX$3="Expose via Zephyr"))/$AY22)</f>
        <v/>
      </c>
      <c r="BA22" s="69">
        <f>IF($AY22=0,"",SUMPRODUCT(($D22:$AX22="Yes")*($D$3:$AX$3="Deliver outside Zephyr"))/$AY22)</f>
        <v/>
      </c>
      <c r="BB22" s="69">
        <f>IF($AY22=0,"",1-$AZ22-$BA22)</f>
        <v/>
      </c>
    </row>
    <row r="23" outlineLevel="1" ht="20" customHeight="1">
      <c r="A23" s="41" t="n"/>
      <c r="B23" s="41" t="n"/>
      <c r="C23" s="41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18">
        <f>COUNTIF(D23:AX23,"Yes")</f>
        <v/>
      </c>
      <c r="AZ23" s="69">
        <f>IF($AY23=0,"",SUMPRODUCT(($D23:$AX23="Yes")*($D$3:$AX$3="Expose via Zephyr"))/$AY23)</f>
        <v/>
      </c>
      <c r="BA23" s="69">
        <f>IF($AY23=0,"",SUMPRODUCT(($D23:$AX23="Yes")*($D$3:$AX$3="Deliver outside Zephyr"))/$AY23)</f>
        <v/>
      </c>
      <c r="BB23" s="69">
        <f>IF($AY23=0,"",1-$AZ23-$BA23)</f>
        <v/>
      </c>
    </row>
    <row r="24" outlineLevel="1" ht="20" customHeight="1">
      <c r="A24" s="41" t="n"/>
      <c r="B24" s="41" t="n"/>
      <c r="C24" s="41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18">
        <f>COUNTIF(D24:AX24,"Yes")</f>
        <v/>
      </c>
      <c r="AZ24" s="69">
        <f>IF($AY24=0,"",SUMPRODUCT(($D24:$AX24="Yes")*($D$3:$AX$3="Expose via Zephyr"))/$AY24)</f>
        <v/>
      </c>
      <c r="BA24" s="69">
        <f>IF($AY24=0,"",SUMPRODUCT(($D24:$AX24="Yes")*($D$3:$AX$3="Deliver outside Zephyr"))/$AY24)</f>
        <v/>
      </c>
      <c r="BB24" s="69">
        <f>IF($AY24=0,"",1-$AZ24-$BA24)</f>
        <v/>
      </c>
    </row>
    <row r="25" outlineLevel="1" ht="20" customHeight="1">
      <c r="A25" s="41" t="n"/>
      <c r="B25" s="41" t="n"/>
      <c r="C25" s="41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18">
        <f>COUNTIF(D25:AX25,"Yes")</f>
        <v/>
      </c>
      <c r="AZ25" s="69">
        <f>IF($AY25=0,"",SUMPRODUCT(($D25:$AX25="Yes")*($D$3:$AX$3="Expose via Zephyr"))/$AY25)</f>
        <v/>
      </c>
      <c r="BA25" s="69">
        <f>IF($AY25=0,"",SUMPRODUCT(($D25:$AX25="Yes")*($D$3:$AX$3="Deliver outside Zephyr"))/$AY25)</f>
        <v/>
      </c>
      <c r="BB25" s="69">
        <f>IF($AY25=0,"",1-$AZ25-$BA25)</f>
        <v/>
      </c>
    </row>
    <row r="26" outlineLevel="1" ht="20" customHeight="1">
      <c r="A26" s="41" t="n"/>
      <c r="B26" s="41" t="n"/>
      <c r="C26" s="41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42" t="n"/>
      <c r="AV26" s="42" t="n"/>
      <c r="AW26" s="42" t="n"/>
      <c r="AX26" s="42" t="n"/>
      <c r="AY26" s="18">
        <f>COUNTIF(D26:AX26,"Yes")</f>
        <v/>
      </c>
      <c r="AZ26" s="69">
        <f>IF($AY26=0,"",SUMPRODUCT(($D26:$AX26="Yes")*($D$3:$AX$3="Expose via Zephyr"))/$AY26)</f>
        <v/>
      </c>
      <c r="BA26" s="69">
        <f>IF($AY26=0,"",SUMPRODUCT(($D26:$AX26="Yes")*($D$3:$AX$3="Deliver outside Zephyr"))/$AY26)</f>
        <v/>
      </c>
      <c r="BB26" s="69">
        <f>IF($AY26=0,"",1-$AZ26-$BA26)</f>
        <v/>
      </c>
    </row>
    <row r="27" outlineLevel="1" ht="20" customHeight="1">
      <c r="A27" s="41" t="n"/>
      <c r="B27" s="41" t="n"/>
      <c r="C27" s="41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18">
        <f>COUNTIF(D27:AX27,"Yes")</f>
        <v/>
      </c>
      <c r="AZ27" s="69">
        <f>IF($AY27=0,"",SUMPRODUCT(($D27:$AX27="Yes")*($D$3:$AX$3="Expose via Zephyr"))/$AY27)</f>
        <v/>
      </c>
      <c r="BA27" s="69">
        <f>IF($AY27=0,"",SUMPRODUCT(($D27:$AX27="Yes")*($D$3:$AX$3="Deliver outside Zephyr"))/$AY27)</f>
        <v/>
      </c>
      <c r="BB27" s="69">
        <f>IF($AY27=0,"",1-$AZ27-$BA27)</f>
        <v/>
      </c>
    </row>
    <row r="28" outlineLevel="1" ht="20" customHeight="1">
      <c r="A28" s="41" t="n"/>
      <c r="B28" s="41" t="n"/>
      <c r="C28" s="41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18">
        <f>COUNTIF(D28:AX28,"Yes")</f>
        <v/>
      </c>
      <c r="AZ28" s="69">
        <f>IF($AY28=0,"",SUMPRODUCT(($D28:$AX28="Yes")*($D$3:$AX$3="Expose via Zephyr"))/$AY28)</f>
        <v/>
      </c>
      <c r="BA28" s="69">
        <f>IF($AY28=0,"",SUMPRODUCT(($D28:$AX28="Yes")*($D$3:$AX$3="Deliver outside Zephyr"))/$AY28)</f>
        <v/>
      </c>
      <c r="BB28" s="69">
        <f>IF($AY28=0,"",1-$AZ28-$BA28)</f>
        <v/>
      </c>
    </row>
    <row r="29" outlineLevel="1" ht="20" customHeight="1">
      <c r="A29" s="41" t="n"/>
      <c r="B29" s="41" t="n"/>
      <c r="C29" s="41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2" t="n"/>
      <c r="AO29" s="42" t="n"/>
      <c r="AP29" s="42" t="n"/>
      <c r="AQ29" s="42" t="n"/>
      <c r="AR29" s="42" t="n"/>
      <c r="AS29" s="42" t="n"/>
      <c r="AT29" s="42" t="n"/>
      <c r="AU29" s="42" t="n"/>
      <c r="AV29" s="42" t="n"/>
      <c r="AW29" s="42" t="n"/>
      <c r="AX29" s="42" t="n"/>
      <c r="AY29" s="18">
        <f>COUNTIF(D29:AX29,"Yes")</f>
        <v/>
      </c>
      <c r="AZ29" s="69">
        <f>IF($AY29=0,"",SUMPRODUCT(($D29:$AX29="Yes")*($D$3:$AX$3="Expose via Zephyr"))/$AY29)</f>
        <v/>
      </c>
      <c r="BA29" s="69">
        <f>IF($AY29=0,"",SUMPRODUCT(($D29:$AX29="Yes")*($D$3:$AX$3="Deliver outside Zephyr"))/$AY29)</f>
        <v/>
      </c>
      <c r="BB29" s="69">
        <f>IF($AY29=0,"",1-$AZ29-$BA29)</f>
        <v/>
      </c>
    </row>
    <row r="30" outlineLevel="1" ht="20" customHeight="1">
      <c r="A30" s="41" t="n"/>
      <c r="B30" s="41" t="n"/>
      <c r="C30" s="41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18">
        <f>COUNTIF(D30:AX30,"Yes")</f>
        <v/>
      </c>
      <c r="AZ30" s="69">
        <f>IF($AY30=0,"",SUMPRODUCT(($D30:$AX30="Yes")*($D$3:$AX$3="Expose via Zephyr"))/$AY30)</f>
        <v/>
      </c>
      <c r="BA30" s="69">
        <f>IF($AY30=0,"",SUMPRODUCT(($D30:$AX30="Yes")*($D$3:$AX$3="Deliver outside Zephyr"))/$AY30)</f>
        <v/>
      </c>
      <c r="BB30" s="69">
        <f>IF($AY30=0,"",1-$AZ30-$BA30)</f>
        <v/>
      </c>
    </row>
    <row r="31" ht="24" customHeight="1">
      <c r="A31" s="43" t="inlineStr">
        <is>
          <t>Connectivity (14 platforms)</t>
        </is>
      </c>
      <c r="B31" s="44" t="n"/>
      <c r="C31" s="44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45">
        <f>SUM(AY32:AY45)</f>
        <v/>
      </c>
      <c r="AZ31" s="70">
        <f>IF($AY31=0,"",SUMPRODUCT($AZ32:$AZ45,$AY32:$AY45)/$AY31)</f>
        <v/>
      </c>
      <c r="BA31" s="70">
        <f>IF($AY31=0,"",SUMPRODUCT($BA32:$BA45,$AY32:$AY45)/$AY31)</f>
        <v/>
      </c>
      <c r="BB31" s="70">
        <f>IF($AY31=0,"",1-$AZ31-$BA31)</f>
        <v/>
      </c>
    </row>
    <row r="32" outlineLevel="1" ht="20" customHeight="1">
      <c r="A32" s="41" t="n"/>
      <c r="B32" s="41" t="n"/>
      <c r="C32" s="41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  <c r="AV32" s="42" t="n"/>
      <c r="AW32" s="42" t="n"/>
      <c r="AX32" s="42" t="n"/>
      <c r="AY32" s="18">
        <f>COUNTIF(D32:AX32,"Yes")</f>
        <v/>
      </c>
      <c r="AZ32" s="69">
        <f>IF($AY32=0,"",SUMPRODUCT(($D32:$AX32="Yes")*($D$3:$AX$3="Expose via Zephyr"))/$AY32)</f>
        <v/>
      </c>
      <c r="BA32" s="69">
        <f>IF($AY32=0,"",SUMPRODUCT(($D32:$AX32="Yes")*($D$3:$AX$3="Deliver outside Zephyr"))/$AY32)</f>
        <v/>
      </c>
      <c r="BB32" s="69">
        <f>IF($AY32=0,"",1-$AZ32-$BA32)</f>
        <v/>
      </c>
    </row>
    <row r="33" outlineLevel="1" ht="20" customHeight="1">
      <c r="A33" s="41" t="n"/>
      <c r="B33" s="41" t="n"/>
      <c r="C33" s="41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  <c r="AO33" s="42" t="n"/>
      <c r="AP33" s="42" t="n"/>
      <c r="AQ33" s="42" t="n"/>
      <c r="AR33" s="42" t="n"/>
      <c r="AS33" s="42" t="n"/>
      <c r="AT33" s="42" t="n"/>
      <c r="AU33" s="42" t="n"/>
      <c r="AV33" s="42" t="n"/>
      <c r="AW33" s="42" t="n"/>
      <c r="AX33" s="42" t="n"/>
      <c r="AY33" s="18">
        <f>COUNTIF(D33:AX33,"Yes")</f>
        <v/>
      </c>
      <c r="AZ33" s="69">
        <f>IF($AY33=0,"",SUMPRODUCT(($D33:$AX33="Yes")*($D$3:$AX$3="Expose via Zephyr"))/$AY33)</f>
        <v/>
      </c>
      <c r="BA33" s="69">
        <f>IF($AY33=0,"",SUMPRODUCT(($D33:$AX33="Yes")*($D$3:$AX$3="Deliver outside Zephyr"))/$AY33)</f>
        <v/>
      </c>
      <c r="BB33" s="69">
        <f>IF($AY33=0,"",1-$AZ33-$BA33)</f>
        <v/>
      </c>
    </row>
    <row r="34" outlineLevel="1" ht="20" customHeight="1">
      <c r="A34" s="41" t="n"/>
      <c r="B34" s="41" t="n"/>
      <c r="C34" s="41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42" t="n"/>
      <c r="AM34" s="42" t="n"/>
      <c r="AN34" s="42" t="n"/>
      <c r="AO34" s="42" t="n"/>
      <c r="AP34" s="42" t="n"/>
      <c r="AQ34" s="42" t="n"/>
      <c r="AR34" s="42" t="n"/>
      <c r="AS34" s="42" t="n"/>
      <c r="AT34" s="42" t="n"/>
      <c r="AU34" s="42" t="n"/>
      <c r="AV34" s="42" t="n"/>
      <c r="AW34" s="42" t="n"/>
      <c r="AX34" s="42" t="n"/>
      <c r="AY34" s="18">
        <f>COUNTIF(D34:AX34,"Yes")</f>
        <v/>
      </c>
      <c r="AZ34" s="69">
        <f>IF($AY34=0,"",SUMPRODUCT(($D34:$AX34="Yes")*($D$3:$AX$3="Expose via Zephyr"))/$AY34)</f>
        <v/>
      </c>
      <c r="BA34" s="69">
        <f>IF($AY34=0,"",SUMPRODUCT(($D34:$AX34="Yes")*($D$3:$AX$3="Deliver outside Zephyr"))/$AY34)</f>
        <v/>
      </c>
      <c r="BB34" s="69">
        <f>IF($AY34=0,"",1-$AZ34-$BA34)</f>
        <v/>
      </c>
    </row>
    <row r="35" outlineLevel="1" ht="20" customHeight="1">
      <c r="A35" s="41" t="n"/>
      <c r="B35" s="41" t="n"/>
      <c r="C35" s="41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42" t="n"/>
      <c r="AV35" s="42" t="n"/>
      <c r="AW35" s="42" t="n"/>
      <c r="AX35" s="42" t="n"/>
      <c r="AY35" s="18">
        <f>COUNTIF(D35:AX35,"Yes")</f>
        <v/>
      </c>
      <c r="AZ35" s="69">
        <f>IF($AY35=0,"",SUMPRODUCT(($D35:$AX35="Yes")*($D$3:$AX$3="Expose via Zephyr"))/$AY35)</f>
        <v/>
      </c>
      <c r="BA35" s="69">
        <f>IF($AY35=0,"",SUMPRODUCT(($D35:$AX35="Yes")*($D$3:$AX$3="Deliver outside Zephyr"))/$AY35)</f>
        <v/>
      </c>
      <c r="BB35" s="69">
        <f>IF($AY35=0,"",1-$AZ35-$BA35)</f>
        <v/>
      </c>
    </row>
    <row r="36" outlineLevel="1" ht="20" customHeight="1">
      <c r="A36" s="41" t="n"/>
      <c r="B36" s="41" t="n"/>
      <c r="C36" s="41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2" t="n"/>
      <c r="AV36" s="42" t="n"/>
      <c r="AW36" s="42" t="n"/>
      <c r="AX36" s="42" t="n"/>
      <c r="AY36" s="18">
        <f>COUNTIF(D36:AX36,"Yes")</f>
        <v/>
      </c>
      <c r="AZ36" s="69">
        <f>IF($AY36=0,"",SUMPRODUCT(($D36:$AX36="Yes")*($D$3:$AX$3="Expose via Zephyr"))/$AY36)</f>
        <v/>
      </c>
      <c r="BA36" s="69">
        <f>IF($AY36=0,"",SUMPRODUCT(($D36:$AX36="Yes")*($D$3:$AX$3="Deliver outside Zephyr"))/$AY36)</f>
        <v/>
      </c>
      <c r="BB36" s="69">
        <f>IF($AY36=0,"",1-$AZ36-$BA36)</f>
        <v/>
      </c>
    </row>
    <row r="37" outlineLevel="1" ht="20" customHeight="1">
      <c r="A37" s="41" t="n"/>
      <c r="B37" s="41" t="n"/>
      <c r="C37" s="41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18">
        <f>COUNTIF(D37:AX37,"Yes")</f>
        <v/>
      </c>
      <c r="AZ37" s="69">
        <f>IF($AY37=0,"",SUMPRODUCT(($D37:$AX37="Yes")*($D$3:$AX$3="Expose via Zephyr"))/$AY37)</f>
        <v/>
      </c>
      <c r="BA37" s="69">
        <f>IF($AY37=0,"",SUMPRODUCT(($D37:$AX37="Yes")*($D$3:$AX$3="Deliver outside Zephyr"))/$AY37)</f>
        <v/>
      </c>
      <c r="BB37" s="69">
        <f>IF($AY37=0,"",1-$AZ37-$BA37)</f>
        <v/>
      </c>
    </row>
    <row r="38" outlineLevel="1" ht="20" customHeight="1">
      <c r="A38" s="41" t="n"/>
      <c r="B38" s="41" t="n"/>
      <c r="C38" s="41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42" t="n"/>
      <c r="AM38" s="42" t="n"/>
      <c r="AN38" s="42" t="n"/>
      <c r="AO38" s="42" t="n"/>
      <c r="AP38" s="42" t="n"/>
      <c r="AQ38" s="42" t="n"/>
      <c r="AR38" s="42" t="n"/>
      <c r="AS38" s="42" t="n"/>
      <c r="AT38" s="42" t="n"/>
      <c r="AU38" s="42" t="n"/>
      <c r="AV38" s="42" t="n"/>
      <c r="AW38" s="42" t="n"/>
      <c r="AX38" s="42" t="n"/>
      <c r="AY38" s="18">
        <f>COUNTIF(D38:AX38,"Yes")</f>
        <v/>
      </c>
      <c r="AZ38" s="69">
        <f>IF($AY38=0,"",SUMPRODUCT(($D38:$AX38="Yes")*($D$3:$AX$3="Expose via Zephyr"))/$AY38)</f>
        <v/>
      </c>
      <c r="BA38" s="69">
        <f>IF($AY38=0,"",SUMPRODUCT(($D38:$AX38="Yes")*($D$3:$AX$3="Deliver outside Zephyr"))/$AY38)</f>
        <v/>
      </c>
      <c r="BB38" s="69">
        <f>IF($AY38=0,"",1-$AZ38-$BA38)</f>
        <v/>
      </c>
    </row>
    <row r="39" outlineLevel="1" ht="20" customHeight="1">
      <c r="A39" s="41" t="n"/>
      <c r="B39" s="41" t="n"/>
      <c r="C39" s="41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2" t="n"/>
      <c r="AV39" s="42" t="n"/>
      <c r="AW39" s="42" t="n"/>
      <c r="AX39" s="42" t="n"/>
      <c r="AY39" s="18">
        <f>COUNTIF(D39:AX39,"Yes")</f>
        <v/>
      </c>
      <c r="AZ39" s="69">
        <f>IF($AY39=0,"",SUMPRODUCT(($D39:$AX39="Yes")*($D$3:$AX$3="Expose via Zephyr"))/$AY39)</f>
        <v/>
      </c>
      <c r="BA39" s="69">
        <f>IF($AY39=0,"",SUMPRODUCT(($D39:$AX39="Yes")*($D$3:$AX$3="Deliver outside Zephyr"))/$AY39)</f>
        <v/>
      </c>
      <c r="BB39" s="69">
        <f>IF($AY39=0,"",1-$AZ39-$BA39)</f>
        <v/>
      </c>
    </row>
    <row r="40" outlineLevel="1" ht="20" customHeight="1">
      <c r="A40" s="41" t="n"/>
      <c r="B40" s="41" t="n"/>
      <c r="C40" s="41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42" t="n"/>
      <c r="AM40" s="42" t="n"/>
      <c r="AN40" s="42" t="n"/>
      <c r="AO40" s="42" t="n"/>
      <c r="AP40" s="42" t="n"/>
      <c r="AQ40" s="42" t="n"/>
      <c r="AR40" s="42" t="n"/>
      <c r="AS40" s="42" t="n"/>
      <c r="AT40" s="42" t="n"/>
      <c r="AU40" s="42" t="n"/>
      <c r="AV40" s="42" t="n"/>
      <c r="AW40" s="42" t="n"/>
      <c r="AX40" s="42" t="n"/>
      <c r="AY40" s="18">
        <f>COUNTIF(D40:AX40,"Yes")</f>
        <v/>
      </c>
      <c r="AZ40" s="69">
        <f>IF($AY40=0,"",SUMPRODUCT(($D40:$AX40="Yes")*($D$3:$AX$3="Expose via Zephyr"))/$AY40)</f>
        <v/>
      </c>
      <c r="BA40" s="69">
        <f>IF($AY40=0,"",SUMPRODUCT(($D40:$AX40="Yes")*($D$3:$AX$3="Deliver outside Zephyr"))/$AY40)</f>
        <v/>
      </c>
      <c r="BB40" s="69">
        <f>IF($AY40=0,"",1-$AZ40-$BA40)</f>
        <v/>
      </c>
    </row>
    <row r="41" outlineLevel="1" ht="20" customHeight="1">
      <c r="A41" s="41" t="n"/>
      <c r="B41" s="41" t="n"/>
      <c r="C41" s="41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42" t="n"/>
      <c r="AV41" s="42" t="n"/>
      <c r="AW41" s="42" t="n"/>
      <c r="AX41" s="42" t="n"/>
      <c r="AY41" s="18">
        <f>COUNTIF(D41:AX41,"Yes")</f>
        <v/>
      </c>
      <c r="AZ41" s="69">
        <f>IF($AY41=0,"",SUMPRODUCT(($D41:$AX41="Yes")*($D$3:$AX$3="Expose via Zephyr"))/$AY41)</f>
        <v/>
      </c>
      <c r="BA41" s="69">
        <f>IF($AY41=0,"",SUMPRODUCT(($D41:$AX41="Yes")*($D$3:$AX$3="Deliver outside Zephyr"))/$AY41)</f>
        <v/>
      </c>
      <c r="BB41" s="69">
        <f>IF($AY41=0,"",1-$AZ41-$BA41)</f>
        <v/>
      </c>
    </row>
    <row r="42" outlineLevel="1" ht="20" customHeight="1">
      <c r="A42" s="41" t="n"/>
      <c r="B42" s="41" t="n"/>
      <c r="C42" s="41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18">
        <f>COUNTIF(D42:AX42,"Yes")</f>
        <v/>
      </c>
      <c r="AZ42" s="69">
        <f>IF($AY42=0,"",SUMPRODUCT(($D42:$AX42="Yes")*($D$3:$AX$3="Expose via Zephyr"))/$AY42)</f>
        <v/>
      </c>
      <c r="BA42" s="69">
        <f>IF($AY42=0,"",SUMPRODUCT(($D42:$AX42="Yes")*($D$3:$AX$3="Deliver outside Zephyr"))/$AY42)</f>
        <v/>
      </c>
      <c r="BB42" s="69">
        <f>IF($AY42=0,"",1-$AZ42-$BA42)</f>
        <v/>
      </c>
    </row>
    <row r="43" outlineLevel="1" ht="20" customHeight="1">
      <c r="A43" s="41" t="n"/>
      <c r="B43" s="41" t="n"/>
      <c r="C43" s="41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18">
        <f>COUNTIF(D43:AX43,"Yes")</f>
        <v/>
      </c>
      <c r="AZ43" s="69">
        <f>IF($AY43=0,"",SUMPRODUCT(($D43:$AX43="Yes")*($D$3:$AX$3="Expose via Zephyr"))/$AY43)</f>
        <v/>
      </c>
      <c r="BA43" s="69">
        <f>IF($AY43=0,"",SUMPRODUCT(($D43:$AX43="Yes")*($D$3:$AX$3="Deliver outside Zephyr"))/$AY43)</f>
        <v/>
      </c>
      <c r="BB43" s="69">
        <f>IF($AY43=0,"",1-$AZ43-$BA43)</f>
        <v/>
      </c>
    </row>
    <row r="44" outlineLevel="1" ht="20" customHeight="1">
      <c r="A44" s="41" t="n"/>
      <c r="B44" s="41" t="n"/>
      <c r="C44" s="41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42" t="n"/>
      <c r="AV44" s="42" t="n"/>
      <c r="AW44" s="42" t="n"/>
      <c r="AX44" s="42" t="n"/>
      <c r="AY44" s="18">
        <f>COUNTIF(D44:AX44,"Yes")</f>
        <v/>
      </c>
      <c r="AZ44" s="69">
        <f>IF($AY44=0,"",SUMPRODUCT(($D44:$AX44="Yes")*($D$3:$AX$3="Expose via Zephyr"))/$AY44)</f>
        <v/>
      </c>
      <c r="BA44" s="69">
        <f>IF($AY44=0,"",SUMPRODUCT(($D44:$AX44="Yes")*($D$3:$AX$3="Deliver outside Zephyr"))/$AY44)</f>
        <v/>
      </c>
      <c r="BB44" s="69">
        <f>IF($AY44=0,"",1-$AZ44-$BA44)</f>
        <v/>
      </c>
    </row>
    <row r="45" outlineLevel="1" ht="20" customHeight="1">
      <c r="A45" s="41" t="n"/>
      <c r="B45" s="41" t="n"/>
      <c r="C45" s="41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18">
        <f>COUNTIF(D45:AX45,"Yes")</f>
        <v/>
      </c>
      <c r="AZ45" s="69">
        <f>IF($AY45=0,"",SUMPRODUCT(($D45:$AX45="Yes")*($D$3:$AX$3="Expose via Zephyr"))/$AY45)</f>
        <v/>
      </c>
      <c r="BA45" s="69">
        <f>IF($AY45=0,"",SUMPRODUCT(($D45:$AX45="Yes")*($D$3:$AX$3="Deliver outside Zephyr"))/$AY45)</f>
        <v/>
      </c>
      <c r="BB45" s="69">
        <f>IF($AY45=0,"",1-$AZ45-$BA45)</f>
        <v/>
      </c>
    </row>
    <row r="46" ht="24" customHeight="1">
      <c r="A46" s="46" t="inlineStr">
        <is>
          <t>Data (16 platforms)</t>
        </is>
      </c>
      <c r="B46" s="47" t="n"/>
      <c r="C46" s="47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48">
        <f>SUM(AY47:AY62)</f>
        <v/>
      </c>
      <c r="AZ46" s="71">
        <f>IF($AY46=0,"",SUMPRODUCT($AZ47:$AZ62,$AY47:$AY62)/$AY46)</f>
        <v/>
      </c>
      <c r="BA46" s="71">
        <f>IF($AY46=0,"",SUMPRODUCT($BA47:$BA62,$AY47:$AY62)/$AY46)</f>
        <v/>
      </c>
      <c r="BB46" s="71">
        <f>IF($AY46=0,"",1-$AZ46-$BA46)</f>
        <v/>
      </c>
    </row>
    <row r="47" outlineLevel="1" ht="20" customHeight="1">
      <c r="A47" s="41" t="n"/>
      <c r="B47" s="41" t="n"/>
      <c r="C47" s="41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18">
        <f>COUNTIF(D47:AX47,"Yes")</f>
        <v/>
      </c>
      <c r="AZ47" s="69">
        <f>IF($AY47=0,"",SUMPRODUCT(($D47:$AX47="Yes")*($D$3:$AX$3="Expose via Zephyr"))/$AY47)</f>
        <v/>
      </c>
      <c r="BA47" s="69">
        <f>IF($AY47=0,"",SUMPRODUCT(($D47:$AX47="Yes")*($D$3:$AX$3="Deliver outside Zephyr"))/$AY47)</f>
        <v/>
      </c>
      <c r="BB47" s="69">
        <f>IF($AY47=0,"",1-$AZ47-$BA47)</f>
        <v/>
      </c>
    </row>
    <row r="48" outlineLevel="1" ht="20" customHeight="1">
      <c r="A48" s="41" t="n"/>
      <c r="B48" s="41" t="n"/>
      <c r="C48" s="41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18">
        <f>COUNTIF(D48:AX48,"Yes")</f>
        <v/>
      </c>
      <c r="AZ48" s="69">
        <f>IF($AY48=0,"",SUMPRODUCT(($D48:$AX48="Yes")*($D$3:$AX$3="Expose via Zephyr"))/$AY48)</f>
        <v/>
      </c>
      <c r="BA48" s="69">
        <f>IF($AY48=0,"",SUMPRODUCT(($D48:$AX48="Yes")*($D$3:$AX$3="Deliver outside Zephyr"))/$AY48)</f>
        <v/>
      </c>
      <c r="BB48" s="69">
        <f>IF($AY48=0,"",1-$AZ48-$BA48)</f>
        <v/>
      </c>
    </row>
    <row r="49" outlineLevel="1" ht="20" customHeight="1">
      <c r="A49" s="41" t="n"/>
      <c r="B49" s="41" t="n"/>
      <c r="C49" s="41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2" t="n"/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42" t="n"/>
      <c r="AS49" s="42" t="n"/>
      <c r="AT49" s="42" t="n"/>
      <c r="AU49" s="42" t="n"/>
      <c r="AV49" s="42" t="n"/>
      <c r="AW49" s="42" t="n"/>
      <c r="AX49" s="42" t="n"/>
      <c r="AY49" s="18">
        <f>COUNTIF(D49:AX49,"Yes")</f>
        <v/>
      </c>
      <c r="AZ49" s="69">
        <f>IF($AY49=0,"",SUMPRODUCT(($D49:$AX49="Yes")*($D$3:$AX$3="Expose via Zephyr"))/$AY49)</f>
        <v/>
      </c>
      <c r="BA49" s="69">
        <f>IF($AY49=0,"",SUMPRODUCT(($D49:$AX49="Yes")*($D$3:$AX$3="Deliver outside Zephyr"))/$AY49)</f>
        <v/>
      </c>
      <c r="BB49" s="69">
        <f>IF($AY49=0,"",1-$AZ49-$BA49)</f>
        <v/>
      </c>
    </row>
    <row r="50" outlineLevel="1" ht="20" customHeight="1">
      <c r="A50" s="41" t="n"/>
      <c r="B50" s="41" t="n"/>
      <c r="C50" s="41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18">
        <f>COUNTIF(D50:AX50,"Yes")</f>
        <v/>
      </c>
      <c r="AZ50" s="69">
        <f>IF($AY50=0,"",SUMPRODUCT(($D50:$AX50="Yes")*($D$3:$AX$3="Expose via Zephyr"))/$AY50)</f>
        <v/>
      </c>
      <c r="BA50" s="69">
        <f>IF($AY50=0,"",SUMPRODUCT(($D50:$AX50="Yes")*($D$3:$AX$3="Deliver outside Zephyr"))/$AY50)</f>
        <v/>
      </c>
      <c r="BB50" s="69">
        <f>IF($AY50=0,"",1-$AZ50-$BA50)</f>
        <v/>
      </c>
    </row>
    <row r="51" outlineLevel="1" ht="20" customHeight="1">
      <c r="A51" s="41" t="n"/>
      <c r="B51" s="41" t="n"/>
      <c r="C51" s="41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18">
        <f>COUNTIF(D51:AX51,"Yes")</f>
        <v/>
      </c>
      <c r="AZ51" s="69">
        <f>IF($AY51=0,"",SUMPRODUCT(($D51:$AX51="Yes")*($D$3:$AX$3="Expose via Zephyr"))/$AY51)</f>
        <v/>
      </c>
      <c r="BA51" s="69">
        <f>IF($AY51=0,"",SUMPRODUCT(($D51:$AX51="Yes")*($D$3:$AX$3="Deliver outside Zephyr"))/$AY51)</f>
        <v/>
      </c>
      <c r="BB51" s="69">
        <f>IF($AY51=0,"",1-$AZ51-$BA51)</f>
        <v/>
      </c>
    </row>
    <row r="52" outlineLevel="1" ht="20" customHeight="1">
      <c r="A52" s="41" t="n"/>
      <c r="B52" s="41" t="n"/>
      <c r="C52" s="41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18">
        <f>COUNTIF(D52:AX52,"Yes")</f>
        <v/>
      </c>
      <c r="AZ52" s="69">
        <f>IF($AY52=0,"",SUMPRODUCT(($D52:$AX52="Yes")*($D$3:$AX$3="Expose via Zephyr"))/$AY52)</f>
        <v/>
      </c>
      <c r="BA52" s="69">
        <f>IF($AY52=0,"",SUMPRODUCT(($D52:$AX52="Yes")*($D$3:$AX$3="Deliver outside Zephyr"))/$AY52)</f>
        <v/>
      </c>
      <c r="BB52" s="69">
        <f>IF($AY52=0,"",1-$AZ52-$BA52)</f>
        <v/>
      </c>
    </row>
    <row r="53" outlineLevel="1" ht="20" customHeight="1">
      <c r="A53" s="41" t="n"/>
      <c r="B53" s="41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18">
        <f>COUNTIF(D53:AX53,"Yes")</f>
        <v/>
      </c>
      <c r="AZ53" s="69">
        <f>IF($AY53=0,"",SUMPRODUCT(($D53:$AX53="Yes")*($D$3:$AX$3="Expose via Zephyr"))/$AY53)</f>
        <v/>
      </c>
      <c r="BA53" s="69">
        <f>IF($AY53=0,"",SUMPRODUCT(($D53:$AX53="Yes")*($D$3:$AX$3="Deliver outside Zephyr"))/$AY53)</f>
        <v/>
      </c>
      <c r="BB53" s="69">
        <f>IF($AY53=0,"",1-$AZ53-$BA53)</f>
        <v/>
      </c>
    </row>
    <row r="54" outlineLevel="1" ht="20" customHeight="1">
      <c r="A54" s="41" t="n"/>
      <c r="B54" s="41" t="n"/>
      <c r="C54" s="41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  <c r="AD54" s="42" t="n"/>
      <c r="AE54" s="42" t="n"/>
      <c r="AF54" s="42" t="n"/>
      <c r="AG54" s="42" t="n"/>
      <c r="AH54" s="42" t="n"/>
      <c r="AI54" s="42" t="n"/>
      <c r="AJ54" s="42" t="n"/>
      <c r="AK54" s="42" t="n"/>
      <c r="AL54" s="42" t="n"/>
      <c r="AM54" s="42" t="n"/>
      <c r="AN54" s="42" t="n"/>
      <c r="AO54" s="42" t="n"/>
      <c r="AP54" s="42" t="n"/>
      <c r="AQ54" s="42" t="n"/>
      <c r="AR54" s="42" t="n"/>
      <c r="AS54" s="42" t="n"/>
      <c r="AT54" s="42" t="n"/>
      <c r="AU54" s="42" t="n"/>
      <c r="AV54" s="42" t="n"/>
      <c r="AW54" s="42" t="n"/>
      <c r="AX54" s="42" t="n"/>
      <c r="AY54" s="18">
        <f>COUNTIF(D54:AX54,"Yes")</f>
        <v/>
      </c>
      <c r="AZ54" s="69">
        <f>IF($AY54=0,"",SUMPRODUCT(($D54:$AX54="Yes")*($D$3:$AX$3="Expose via Zephyr"))/$AY54)</f>
        <v/>
      </c>
      <c r="BA54" s="69">
        <f>IF($AY54=0,"",SUMPRODUCT(($D54:$AX54="Yes")*($D$3:$AX$3="Deliver outside Zephyr"))/$AY54)</f>
        <v/>
      </c>
      <c r="BB54" s="69">
        <f>IF($AY54=0,"",1-$AZ54-$BA54)</f>
        <v/>
      </c>
    </row>
    <row r="55" outlineLevel="1" ht="20" customHeight="1">
      <c r="A55" s="41" t="n"/>
      <c r="B55" s="41" t="n"/>
      <c r="C55" s="41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  <c r="AD55" s="42" t="n"/>
      <c r="AE55" s="42" t="n"/>
      <c r="AF55" s="42" t="n"/>
      <c r="AG55" s="42" t="n"/>
      <c r="AH55" s="42" t="n"/>
      <c r="AI55" s="42" t="n"/>
      <c r="AJ55" s="42" t="n"/>
      <c r="AK55" s="42" t="n"/>
      <c r="AL55" s="42" t="n"/>
      <c r="AM55" s="42" t="n"/>
      <c r="AN55" s="42" t="n"/>
      <c r="AO55" s="42" t="n"/>
      <c r="AP55" s="42" t="n"/>
      <c r="AQ55" s="42" t="n"/>
      <c r="AR55" s="42" t="n"/>
      <c r="AS55" s="42" t="n"/>
      <c r="AT55" s="42" t="n"/>
      <c r="AU55" s="42" t="n"/>
      <c r="AV55" s="42" t="n"/>
      <c r="AW55" s="42" t="n"/>
      <c r="AX55" s="42" t="n"/>
      <c r="AY55" s="18">
        <f>COUNTIF(D55:AX55,"Yes")</f>
        <v/>
      </c>
      <c r="AZ55" s="69">
        <f>IF($AY55=0,"",SUMPRODUCT(($D55:$AX55="Yes")*($D$3:$AX$3="Expose via Zephyr"))/$AY55)</f>
        <v/>
      </c>
      <c r="BA55" s="69">
        <f>IF($AY55=0,"",SUMPRODUCT(($D55:$AX55="Yes")*($D$3:$AX$3="Deliver outside Zephyr"))/$AY55)</f>
        <v/>
      </c>
      <c r="BB55" s="69">
        <f>IF($AY55=0,"",1-$AZ55-$BA55)</f>
        <v/>
      </c>
    </row>
    <row r="56" outlineLevel="1" ht="20" customHeight="1">
      <c r="A56" s="41" t="n"/>
      <c r="B56" s="41" t="n"/>
      <c r="C56" s="41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  <c r="AD56" s="42" t="n"/>
      <c r="AE56" s="42" t="n"/>
      <c r="AF56" s="42" t="n"/>
      <c r="AG56" s="42" t="n"/>
      <c r="AH56" s="42" t="n"/>
      <c r="AI56" s="42" t="n"/>
      <c r="AJ56" s="42" t="n"/>
      <c r="AK56" s="42" t="n"/>
      <c r="AL56" s="42" t="n"/>
      <c r="AM56" s="42" t="n"/>
      <c r="AN56" s="42" t="n"/>
      <c r="AO56" s="42" t="n"/>
      <c r="AP56" s="42" t="n"/>
      <c r="AQ56" s="42" t="n"/>
      <c r="AR56" s="42" t="n"/>
      <c r="AS56" s="42" t="n"/>
      <c r="AT56" s="42" t="n"/>
      <c r="AU56" s="42" t="n"/>
      <c r="AV56" s="42" t="n"/>
      <c r="AW56" s="42" t="n"/>
      <c r="AX56" s="42" t="n"/>
      <c r="AY56" s="18">
        <f>COUNTIF(D56:AX56,"Yes")</f>
        <v/>
      </c>
      <c r="AZ56" s="69">
        <f>IF($AY56=0,"",SUMPRODUCT(($D56:$AX56="Yes")*($D$3:$AX$3="Expose via Zephyr"))/$AY56)</f>
        <v/>
      </c>
      <c r="BA56" s="69">
        <f>IF($AY56=0,"",SUMPRODUCT(($D56:$AX56="Yes")*($D$3:$AX$3="Deliver outside Zephyr"))/$AY56)</f>
        <v/>
      </c>
      <c r="BB56" s="69">
        <f>IF($AY56=0,"",1-$AZ56-$BA56)</f>
        <v/>
      </c>
    </row>
    <row r="57" outlineLevel="1" ht="20" customHeight="1">
      <c r="A57" s="41" t="n"/>
      <c r="B57" s="41" t="n"/>
      <c r="C57" s="41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  <c r="AI57" s="42" t="n"/>
      <c r="AJ57" s="42" t="n"/>
      <c r="AK57" s="42" t="n"/>
      <c r="AL57" s="42" t="n"/>
      <c r="AM57" s="42" t="n"/>
      <c r="AN57" s="42" t="n"/>
      <c r="AO57" s="42" t="n"/>
      <c r="AP57" s="42" t="n"/>
      <c r="AQ57" s="42" t="n"/>
      <c r="AR57" s="42" t="n"/>
      <c r="AS57" s="42" t="n"/>
      <c r="AT57" s="42" t="n"/>
      <c r="AU57" s="42" t="n"/>
      <c r="AV57" s="42" t="n"/>
      <c r="AW57" s="42" t="n"/>
      <c r="AX57" s="42" t="n"/>
      <c r="AY57" s="18">
        <f>COUNTIF(D57:AX57,"Yes")</f>
        <v/>
      </c>
      <c r="AZ57" s="69">
        <f>IF($AY57=0,"",SUMPRODUCT(($D57:$AX57="Yes")*($D$3:$AX$3="Expose via Zephyr"))/$AY57)</f>
        <v/>
      </c>
      <c r="BA57" s="69">
        <f>IF($AY57=0,"",SUMPRODUCT(($D57:$AX57="Yes")*($D$3:$AX$3="Deliver outside Zephyr"))/$AY57)</f>
        <v/>
      </c>
      <c r="BB57" s="69">
        <f>IF($AY57=0,"",1-$AZ57-$BA57)</f>
        <v/>
      </c>
    </row>
    <row r="58" outlineLevel="1" ht="20" customHeight="1">
      <c r="A58" s="41" t="n"/>
      <c r="B58" s="41" t="n"/>
      <c r="C58" s="41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18">
        <f>COUNTIF(D58:AX58,"Yes")</f>
        <v/>
      </c>
      <c r="AZ58" s="69">
        <f>IF($AY58=0,"",SUMPRODUCT(($D58:$AX58="Yes")*($D$3:$AX$3="Expose via Zephyr"))/$AY58)</f>
        <v/>
      </c>
      <c r="BA58" s="69">
        <f>IF($AY58=0,"",SUMPRODUCT(($D58:$AX58="Yes")*($D$3:$AX$3="Deliver outside Zephyr"))/$AY58)</f>
        <v/>
      </c>
      <c r="BB58" s="69">
        <f>IF($AY58=0,"",1-$AZ58-$BA58)</f>
        <v/>
      </c>
    </row>
    <row r="59" outlineLevel="1" ht="20" customHeight="1">
      <c r="A59" s="41" t="n"/>
      <c r="B59" s="41" t="n"/>
      <c r="C59" s="41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2" t="n"/>
      <c r="AJ59" s="42" t="n"/>
      <c r="AK59" s="42" t="n"/>
      <c r="AL59" s="42" t="n"/>
      <c r="AM59" s="42" t="n"/>
      <c r="AN59" s="42" t="n"/>
      <c r="AO59" s="42" t="n"/>
      <c r="AP59" s="42" t="n"/>
      <c r="AQ59" s="42" t="n"/>
      <c r="AR59" s="42" t="n"/>
      <c r="AS59" s="42" t="n"/>
      <c r="AT59" s="42" t="n"/>
      <c r="AU59" s="42" t="n"/>
      <c r="AV59" s="42" t="n"/>
      <c r="AW59" s="42" t="n"/>
      <c r="AX59" s="42" t="n"/>
      <c r="AY59" s="18">
        <f>COUNTIF(D59:AX59,"Yes")</f>
        <v/>
      </c>
      <c r="AZ59" s="69">
        <f>IF($AY59=0,"",SUMPRODUCT(($D59:$AX59="Yes")*($D$3:$AX$3="Expose via Zephyr"))/$AY59)</f>
        <v/>
      </c>
      <c r="BA59" s="69">
        <f>IF($AY59=0,"",SUMPRODUCT(($D59:$AX59="Yes")*($D$3:$AX$3="Deliver outside Zephyr"))/$AY59)</f>
        <v/>
      </c>
      <c r="BB59" s="69">
        <f>IF($AY59=0,"",1-$AZ59-$BA59)</f>
        <v/>
      </c>
    </row>
    <row r="60" outlineLevel="1" ht="20" customHeight="1">
      <c r="A60" s="41" t="n"/>
      <c r="B60" s="41" t="n"/>
      <c r="C60" s="41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  <c r="AD60" s="42" t="n"/>
      <c r="AE60" s="42" t="n"/>
      <c r="AF60" s="42" t="n"/>
      <c r="AG60" s="42" t="n"/>
      <c r="AH60" s="42" t="n"/>
      <c r="AI60" s="42" t="n"/>
      <c r="AJ60" s="42" t="n"/>
      <c r="AK60" s="42" t="n"/>
      <c r="AL60" s="42" t="n"/>
      <c r="AM60" s="42" t="n"/>
      <c r="AN60" s="42" t="n"/>
      <c r="AO60" s="42" t="n"/>
      <c r="AP60" s="42" t="n"/>
      <c r="AQ60" s="42" t="n"/>
      <c r="AR60" s="42" t="n"/>
      <c r="AS60" s="42" t="n"/>
      <c r="AT60" s="42" t="n"/>
      <c r="AU60" s="42" t="n"/>
      <c r="AV60" s="42" t="n"/>
      <c r="AW60" s="42" t="n"/>
      <c r="AX60" s="42" t="n"/>
      <c r="AY60" s="18">
        <f>COUNTIF(D60:AX60,"Yes")</f>
        <v/>
      </c>
      <c r="AZ60" s="69">
        <f>IF($AY60=0,"",SUMPRODUCT(($D60:$AX60="Yes")*($D$3:$AX$3="Expose via Zephyr"))/$AY60)</f>
        <v/>
      </c>
      <c r="BA60" s="69">
        <f>IF($AY60=0,"",SUMPRODUCT(($D60:$AX60="Yes")*($D$3:$AX$3="Deliver outside Zephyr"))/$AY60)</f>
        <v/>
      </c>
      <c r="BB60" s="69">
        <f>IF($AY60=0,"",1-$AZ60-$BA60)</f>
        <v/>
      </c>
    </row>
    <row r="61" outlineLevel="1" ht="20" customHeight="1">
      <c r="A61" s="41" t="n"/>
      <c r="B61" s="41" t="n"/>
      <c r="C61" s="41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  <c r="AD61" s="42" t="n"/>
      <c r="AE61" s="42" t="n"/>
      <c r="AF61" s="42" t="n"/>
      <c r="AG61" s="42" t="n"/>
      <c r="AH61" s="42" t="n"/>
      <c r="AI61" s="42" t="n"/>
      <c r="AJ61" s="42" t="n"/>
      <c r="AK61" s="42" t="n"/>
      <c r="AL61" s="42" t="n"/>
      <c r="AM61" s="42" t="n"/>
      <c r="AN61" s="42" t="n"/>
      <c r="AO61" s="42" t="n"/>
      <c r="AP61" s="42" t="n"/>
      <c r="AQ61" s="42" t="n"/>
      <c r="AR61" s="42" t="n"/>
      <c r="AS61" s="42" t="n"/>
      <c r="AT61" s="42" t="n"/>
      <c r="AU61" s="42" t="n"/>
      <c r="AV61" s="42" t="n"/>
      <c r="AW61" s="42" t="n"/>
      <c r="AX61" s="42" t="n"/>
      <c r="AY61" s="18">
        <f>COUNTIF(D61:AX61,"Yes")</f>
        <v/>
      </c>
      <c r="AZ61" s="69">
        <f>IF($AY61=0,"",SUMPRODUCT(($D61:$AX61="Yes")*($D$3:$AX$3="Expose via Zephyr"))/$AY61)</f>
        <v/>
      </c>
      <c r="BA61" s="69">
        <f>IF($AY61=0,"",SUMPRODUCT(($D61:$AX61="Yes")*($D$3:$AX$3="Deliver outside Zephyr"))/$AY61)</f>
        <v/>
      </c>
      <c r="BB61" s="69">
        <f>IF($AY61=0,"",1-$AZ61-$BA61)</f>
        <v/>
      </c>
    </row>
    <row r="62" outlineLevel="1" ht="20" customHeight="1">
      <c r="A62" s="41" t="n"/>
      <c r="B62" s="41" t="n"/>
      <c r="C62" s="41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  <c r="AD62" s="42" t="n"/>
      <c r="AE62" s="42" t="n"/>
      <c r="AF62" s="42" t="n"/>
      <c r="AG62" s="42" t="n"/>
      <c r="AH62" s="42" t="n"/>
      <c r="AI62" s="42" t="n"/>
      <c r="AJ62" s="42" t="n"/>
      <c r="AK62" s="42" t="n"/>
      <c r="AL62" s="42" t="n"/>
      <c r="AM62" s="42" t="n"/>
      <c r="AN62" s="42" t="n"/>
      <c r="AO62" s="42" t="n"/>
      <c r="AP62" s="42" t="n"/>
      <c r="AQ62" s="42" t="n"/>
      <c r="AR62" s="42" t="n"/>
      <c r="AS62" s="42" t="n"/>
      <c r="AT62" s="42" t="n"/>
      <c r="AU62" s="42" t="n"/>
      <c r="AV62" s="42" t="n"/>
      <c r="AW62" s="42" t="n"/>
      <c r="AX62" s="42" t="n"/>
      <c r="AY62" s="18">
        <f>COUNTIF(D62:AX62,"Yes")</f>
        <v/>
      </c>
      <c r="AZ62" s="69">
        <f>IF($AY62=0,"",SUMPRODUCT(($D62:$AX62="Yes")*($D$3:$AX$3="Expose via Zephyr"))/$AY62)</f>
        <v/>
      </c>
      <c r="BA62" s="69">
        <f>IF($AY62=0,"",SUMPRODUCT(($D62:$AX62="Yes")*($D$3:$AX$3="Deliver outside Zephyr"))/$AY62)</f>
        <v/>
      </c>
      <c r="BB62" s="69">
        <f>IF($AY62=0,"",1-$AZ62-$BA62)</f>
        <v/>
      </c>
    </row>
    <row r="63" ht="24" customHeight="1">
      <c r="A63" s="49" t="inlineStr">
        <is>
          <t>Storage (6 platforms)</t>
        </is>
      </c>
      <c r="B63" s="50" t="n"/>
      <c r="C63" s="50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51">
        <f>SUM(AY64:AY69)</f>
        <v/>
      </c>
      <c r="AZ63" s="72">
        <f>IF($AY63=0,"",SUMPRODUCT($AZ64:$AZ69,$AY64:$AY69)/$AY63)</f>
        <v/>
      </c>
      <c r="BA63" s="72">
        <f>IF($AY63=0,"",SUMPRODUCT($BA64:$BA69,$AY64:$AY69)/$AY63)</f>
        <v/>
      </c>
      <c r="BB63" s="72">
        <f>IF($AY63=0,"",1-$AZ63-$BA63)</f>
        <v/>
      </c>
    </row>
    <row r="64" outlineLevel="1" ht="20" customHeight="1">
      <c r="A64" s="41" t="n"/>
      <c r="B64" s="41" t="n"/>
      <c r="C64" s="41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18">
        <f>COUNTIF(D64:AX64,"Yes")</f>
        <v/>
      </c>
      <c r="AZ64" s="69">
        <f>IF($AY64=0,"",SUMPRODUCT(($D64:$AX64="Yes")*($D$3:$AX$3="Expose via Zephyr"))/$AY64)</f>
        <v/>
      </c>
      <c r="BA64" s="69">
        <f>IF($AY64=0,"",SUMPRODUCT(($D64:$AX64="Yes")*($D$3:$AX$3="Deliver outside Zephyr"))/$AY64)</f>
        <v/>
      </c>
      <c r="BB64" s="69">
        <f>IF($AY64=0,"",1-$AZ64-$BA64)</f>
        <v/>
      </c>
    </row>
    <row r="65" outlineLevel="1" ht="20" customHeight="1">
      <c r="A65" s="41" t="n"/>
      <c r="B65" s="41" t="n"/>
      <c r="C65" s="41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18">
        <f>COUNTIF(D65:AX65,"Yes")</f>
        <v/>
      </c>
      <c r="AZ65" s="69">
        <f>IF($AY65=0,"",SUMPRODUCT(($D65:$AX65="Yes")*($D$3:$AX$3="Expose via Zephyr"))/$AY65)</f>
        <v/>
      </c>
      <c r="BA65" s="69">
        <f>IF($AY65=0,"",SUMPRODUCT(($D65:$AX65="Yes")*($D$3:$AX$3="Deliver outside Zephyr"))/$AY65)</f>
        <v/>
      </c>
      <c r="BB65" s="69">
        <f>IF($AY65=0,"",1-$AZ65-$BA65)</f>
        <v/>
      </c>
    </row>
    <row r="66" outlineLevel="1" ht="20" customHeight="1">
      <c r="A66" s="41" t="n"/>
      <c r="B66" s="41" t="n"/>
      <c r="C66" s="41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18">
        <f>COUNTIF(D66:AX66,"Yes")</f>
        <v/>
      </c>
      <c r="AZ66" s="69">
        <f>IF($AY66=0,"",SUMPRODUCT(($D66:$AX66="Yes")*($D$3:$AX$3="Expose via Zephyr"))/$AY66)</f>
        <v/>
      </c>
      <c r="BA66" s="69">
        <f>IF($AY66=0,"",SUMPRODUCT(($D66:$AX66="Yes")*($D$3:$AX$3="Deliver outside Zephyr"))/$AY66)</f>
        <v/>
      </c>
      <c r="BB66" s="69">
        <f>IF($AY66=0,"",1-$AZ66-$BA66)</f>
        <v/>
      </c>
    </row>
    <row r="67" outlineLevel="1" ht="20" customHeight="1">
      <c r="A67" s="41" t="n"/>
      <c r="B67" s="41" t="n"/>
      <c r="C67" s="41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18">
        <f>COUNTIF(D67:AX67,"Yes")</f>
        <v/>
      </c>
      <c r="AZ67" s="69">
        <f>IF($AY67=0,"",SUMPRODUCT(($D67:$AX67="Yes")*($D$3:$AX$3="Expose via Zephyr"))/$AY67)</f>
        <v/>
      </c>
      <c r="BA67" s="69">
        <f>IF($AY67=0,"",SUMPRODUCT(($D67:$AX67="Yes")*($D$3:$AX$3="Deliver outside Zephyr"))/$AY67)</f>
        <v/>
      </c>
      <c r="BB67" s="69">
        <f>IF($AY67=0,"",1-$AZ67-$BA67)</f>
        <v/>
      </c>
    </row>
    <row r="68" outlineLevel="1" ht="20" customHeight="1">
      <c r="A68" s="41" t="n"/>
      <c r="B68" s="41" t="n"/>
      <c r="C68" s="41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18">
        <f>COUNTIF(D68:AX68,"Yes")</f>
        <v/>
      </c>
      <c r="AZ68" s="69">
        <f>IF($AY68=0,"",SUMPRODUCT(($D68:$AX68="Yes")*($D$3:$AX$3="Expose via Zephyr"))/$AY68)</f>
        <v/>
      </c>
      <c r="BA68" s="69">
        <f>IF($AY68=0,"",SUMPRODUCT(($D68:$AX68="Yes")*($D$3:$AX$3="Deliver outside Zephyr"))/$AY68)</f>
        <v/>
      </c>
      <c r="BB68" s="69">
        <f>IF($AY68=0,"",1-$AZ68-$BA68)</f>
        <v/>
      </c>
    </row>
    <row r="69" outlineLevel="1" ht="20" customHeight="1">
      <c r="A69" s="41" t="n"/>
      <c r="B69" s="41" t="n"/>
      <c r="C69" s="41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18">
        <f>COUNTIF(D69:AX69,"Yes")</f>
        <v/>
      </c>
      <c r="AZ69" s="69">
        <f>IF($AY69=0,"",SUMPRODUCT(($D69:$AX69="Yes")*($D$3:$AX$3="Expose via Zephyr"))/$AY69)</f>
        <v/>
      </c>
      <c r="BA69" s="69">
        <f>IF($AY69=0,"",SUMPRODUCT(($D69:$AX69="Yes")*($D$3:$AX$3="Deliver outside Zephyr"))/$AY69)</f>
        <v/>
      </c>
      <c r="BB69" s="69">
        <f>IF($AY69=0,"",1-$AZ69-$BA69)</f>
        <v/>
      </c>
    </row>
    <row r="70" ht="24" customHeight="1">
      <c r="A70" s="52" t="inlineStr">
        <is>
          <t>Operations (3 platforms)</t>
        </is>
      </c>
      <c r="B70" s="53" t="n"/>
      <c r="C70" s="53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54">
        <f>SUM(AY71:AY73)</f>
        <v/>
      </c>
      <c r="AZ70" s="73">
        <f>IF($AY70=0,"",SUMPRODUCT($AZ71:$AZ73,$AY71:$AY73)/$AY70)</f>
        <v/>
      </c>
      <c r="BA70" s="73">
        <f>IF($AY70=0,"",SUMPRODUCT($BA71:$BA73,$AY71:$AY73)/$AY70)</f>
        <v/>
      </c>
      <c r="BB70" s="73">
        <f>IF($AY70=0,"",1-$AZ70-$BA70)</f>
        <v/>
      </c>
    </row>
    <row r="71" outlineLevel="1" ht="20" customHeight="1">
      <c r="A71" s="41" t="n"/>
      <c r="B71" s="41" t="n"/>
      <c r="C71" s="41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18">
        <f>COUNTIF(D71:AX71,"Yes")</f>
        <v/>
      </c>
      <c r="AZ71" s="69">
        <f>IF($AY71=0,"",SUMPRODUCT(($D71:$AX71="Yes")*($D$3:$AX$3="Expose via Zephyr"))/$AY71)</f>
        <v/>
      </c>
      <c r="BA71" s="69">
        <f>IF($AY71=0,"",SUMPRODUCT(($D71:$AX71="Yes")*($D$3:$AX$3="Deliver outside Zephyr"))/$AY71)</f>
        <v/>
      </c>
      <c r="BB71" s="69">
        <f>IF($AY71=0,"",1-$AZ71-$BA71)</f>
        <v/>
      </c>
    </row>
    <row r="72" outlineLevel="1" ht="20" customHeight="1">
      <c r="A72" s="41" t="n"/>
      <c r="B72" s="41" t="n"/>
      <c r="C72" s="41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18">
        <f>COUNTIF(D72:AX72,"Yes")</f>
        <v/>
      </c>
      <c r="AZ72" s="69">
        <f>IF($AY72=0,"",SUMPRODUCT(($D72:$AX72="Yes")*($D$3:$AX$3="Expose via Zephyr"))/$AY72)</f>
        <v/>
      </c>
      <c r="BA72" s="69">
        <f>IF($AY72=0,"",SUMPRODUCT(($D72:$AX72="Yes")*($D$3:$AX$3="Deliver outside Zephyr"))/$AY72)</f>
        <v/>
      </c>
      <c r="BB72" s="69">
        <f>IF($AY72=0,"",1-$AZ72-$BA72)</f>
        <v/>
      </c>
    </row>
    <row r="73" outlineLevel="1" ht="20" customHeight="1">
      <c r="A73" s="41" t="n"/>
      <c r="B73" s="41" t="n"/>
      <c r="C73" s="41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18">
        <f>COUNTIF(D73:AX73,"Yes")</f>
        <v/>
      </c>
      <c r="AZ73" s="69">
        <f>IF($AY73=0,"",SUMPRODUCT(($D73:$AX73="Yes")*($D$3:$AX$3="Expose via Zephyr"))/$AY73)</f>
        <v/>
      </c>
      <c r="BA73" s="69">
        <f>IF($AY73=0,"",SUMPRODUCT(($D73:$AX73="Yes")*($D$3:$AX$3="Deliver outside Zephyr"))/$AY73)</f>
        <v/>
      </c>
      <c r="BB73" s="69">
        <f>IF($AY73=0,"",1-$AZ73-$BA73)</f>
        <v/>
      </c>
    </row>
    <row r="74" ht="24" customHeight="1">
      <c r="A74" s="55" t="inlineStr">
        <is>
          <t>Compute (18 platforms)</t>
        </is>
      </c>
      <c r="B74" s="56" t="n"/>
      <c r="C74" s="56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57">
        <f>SUM(AY75:AY92)</f>
        <v/>
      </c>
      <c r="AZ74" s="74">
        <f>IF($AY74=0,"",SUMPRODUCT($AZ75:$AZ92,$AY75:$AY92)/$AY74)</f>
        <v/>
      </c>
      <c r="BA74" s="74">
        <f>IF($AY74=0,"",SUMPRODUCT($BA75:$BA92,$AY75:$AY92)/$AY74)</f>
        <v/>
      </c>
      <c r="BB74" s="74">
        <f>IF($AY74=0,"",1-$AZ74-$BA74)</f>
        <v/>
      </c>
    </row>
    <row r="75" outlineLevel="1" ht="20" customHeight="1">
      <c r="A75" s="41" t="n"/>
      <c r="B75" s="41" t="n"/>
      <c r="C75" s="41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18">
        <f>COUNTIF(D75:AX75,"Yes")</f>
        <v/>
      </c>
      <c r="AZ75" s="69">
        <f>IF($AY75=0,"",SUMPRODUCT(($D75:$AX75="Yes")*($D$3:$AX$3="Expose via Zephyr"))/$AY75)</f>
        <v/>
      </c>
      <c r="BA75" s="69">
        <f>IF($AY75=0,"",SUMPRODUCT(($D75:$AX75="Yes")*($D$3:$AX$3="Deliver outside Zephyr"))/$AY75)</f>
        <v/>
      </c>
      <c r="BB75" s="69">
        <f>IF($AY75=0,"",1-$AZ75-$BA75)</f>
        <v/>
      </c>
    </row>
    <row r="76" outlineLevel="1" ht="20" customHeight="1">
      <c r="A76" s="41" t="n"/>
      <c r="B76" s="41" t="n"/>
      <c r="C76" s="41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18">
        <f>COUNTIF(D76:AX76,"Yes")</f>
        <v/>
      </c>
      <c r="AZ76" s="69">
        <f>IF($AY76=0,"",SUMPRODUCT(($D76:$AX76="Yes")*($D$3:$AX$3="Expose via Zephyr"))/$AY76)</f>
        <v/>
      </c>
      <c r="BA76" s="69">
        <f>IF($AY76=0,"",SUMPRODUCT(($D76:$AX76="Yes")*($D$3:$AX$3="Deliver outside Zephyr"))/$AY76)</f>
        <v/>
      </c>
      <c r="BB76" s="69">
        <f>IF($AY76=0,"",1-$AZ76-$BA76)</f>
        <v/>
      </c>
    </row>
    <row r="77" outlineLevel="1" ht="20" customHeight="1">
      <c r="A77" s="41" t="n"/>
      <c r="B77" s="41" t="n"/>
      <c r="C77" s="41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18">
        <f>COUNTIF(D77:AX77,"Yes")</f>
        <v/>
      </c>
      <c r="AZ77" s="69">
        <f>IF($AY77=0,"",SUMPRODUCT(($D77:$AX77="Yes")*($D$3:$AX$3="Expose via Zephyr"))/$AY77)</f>
        <v/>
      </c>
      <c r="BA77" s="69">
        <f>IF($AY77=0,"",SUMPRODUCT(($D77:$AX77="Yes")*($D$3:$AX$3="Deliver outside Zephyr"))/$AY77)</f>
        <v/>
      </c>
      <c r="BB77" s="69">
        <f>IF($AY77=0,"",1-$AZ77-$BA77)</f>
        <v/>
      </c>
    </row>
    <row r="78" outlineLevel="1" ht="20" customHeight="1">
      <c r="A78" s="41" t="n"/>
      <c r="B78" s="41" t="n"/>
      <c r="C78" s="41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18">
        <f>COUNTIF(D78:AX78,"Yes")</f>
        <v/>
      </c>
      <c r="AZ78" s="69">
        <f>IF($AY78=0,"",SUMPRODUCT(($D78:$AX78="Yes")*($D$3:$AX$3="Expose via Zephyr"))/$AY78)</f>
        <v/>
      </c>
      <c r="BA78" s="69">
        <f>IF($AY78=0,"",SUMPRODUCT(($D78:$AX78="Yes")*($D$3:$AX$3="Deliver outside Zephyr"))/$AY78)</f>
        <v/>
      </c>
      <c r="BB78" s="69">
        <f>IF($AY78=0,"",1-$AZ78-$BA78)</f>
        <v/>
      </c>
    </row>
    <row r="79" outlineLevel="1" ht="20" customHeight="1">
      <c r="A79" s="41" t="n"/>
      <c r="B79" s="41" t="n"/>
      <c r="C79" s="41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18">
        <f>COUNTIF(D79:AX79,"Yes")</f>
        <v/>
      </c>
      <c r="AZ79" s="69">
        <f>IF($AY79=0,"",SUMPRODUCT(($D79:$AX79="Yes")*($D$3:$AX$3="Expose via Zephyr"))/$AY79)</f>
        <v/>
      </c>
      <c r="BA79" s="69">
        <f>IF($AY79=0,"",SUMPRODUCT(($D79:$AX79="Yes")*($D$3:$AX$3="Deliver outside Zephyr"))/$AY79)</f>
        <v/>
      </c>
      <c r="BB79" s="69">
        <f>IF($AY79=0,"",1-$AZ79-$BA79)</f>
        <v/>
      </c>
    </row>
    <row r="80" outlineLevel="1" ht="20" customHeight="1">
      <c r="A80" s="41" t="n"/>
      <c r="B80" s="41" t="n"/>
      <c r="C80" s="41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18">
        <f>COUNTIF(D80:AX80,"Yes")</f>
        <v/>
      </c>
      <c r="AZ80" s="69">
        <f>IF($AY80=0,"",SUMPRODUCT(($D80:$AX80="Yes")*($D$3:$AX$3="Expose via Zephyr"))/$AY80)</f>
        <v/>
      </c>
      <c r="BA80" s="69">
        <f>IF($AY80=0,"",SUMPRODUCT(($D80:$AX80="Yes")*($D$3:$AX$3="Deliver outside Zephyr"))/$AY80)</f>
        <v/>
      </c>
      <c r="BB80" s="69">
        <f>IF($AY80=0,"",1-$AZ80-$BA80)</f>
        <v/>
      </c>
    </row>
    <row r="81" outlineLevel="1" ht="20" customHeight="1">
      <c r="A81" s="41" t="n"/>
      <c r="B81" s="41" t="n"/>
      <c r="C81" s="41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18">
        <f>COUNTIF(D81:AX81,"Yes")</f>
        <v/>
      </c>
      <c r="AZ81" s="69">
        <f>IF($AY81=0,"",SUMPRODUCT(($D81:$AX81="Yes")*($D$3:$AX$3="Expose via Zephyr"))/$AY81)</f>
        <v/>
      </c>
      <c r="BA81" s="69">
        <f>IF($AY81=0,"",SUMPRODUCT(($D81:$AX81="Yes")*($D$3:$AX$3="Deliver outside Zephyr"))/$AY81)</f>
        <v/>
      </c>
      <c r="BB81" s="69">
        <f>IF($AY81=0,"",1-$AZ81-$BA81)</f>
        <v/>
      </c>
    </row>
    <row r="82" outlineLevel="1" ht="20" customHeight="1">
      <c r="A82" s="41" t="n"/>
      <c r="B82" s="41" t="n"/>
      <c r="C82" s="41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18">
        <f>COUNTIF(D82:AX82,"Yes")</f>
        <v/>
      </c>
      <c r="AZ82" s="69">
        <f>IF($AY82=0,"",SUMPRODUCT(($D82:$AX82="Yes")*($D$3:$AX$3="Expose via Zephyr"))/$AY82)</f>
        <v/>
      </c>
      <c r="BA82" s="69">
        <f>IF($AY82=0,"",SUMPRODUCT(($D82:$AX82="Yes")*($D$3:$AX$3="Deliver outside Zephyr"))/$AY82)</f>
        <v/>
      </c>
      <c r="BB82" s="69">
        <f>IF($AY82=0,"",1-$AZ82-$BA82)</f>
        <v/>
      </c>
    </row>
    <row r="83" outlineLevel="1" ht="20" customHeight="1">
      <c r="A83" s="41" t="n"/>
      <c r="B83" s="41" t="n"/>
      <c r="C83" s="41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18">
        <f>COUNTIF(D83:AX83,"Yes")</f>
        <v/>
      </c>
      <c r="AZ83" s="69">
        <f>IF($AY83=0,"",SUMPRODUCT(($D83:$AX83="Yes")*($D$3:$AX$3="Expose via Zephyr"))/$AY83)</f>
        <v/>
      </c>
      <c r="BA83" s="69">
        <f>IF($AY83=0,"",SUMPRODUCT(($D83:$AX83="Yes")*($D$3:$AX$3="Deliver outside Zephyr"))/$AY83)</f>
        <v/>
      </c>
      <c r="BB83" s="69">
        <f>IF($AY83=0,"",1-$AZ83-$BA83)</f>
        <v/>
      </c>
    </row>
    <row r="84" outlineLevel="1" ht="20" customHeight="1">
      <c r="A84" s="41" t="n"/>
      <c r="B84" s="41" t="n"/>
      <c r="C84" s="41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18">
        <f>COUNTIF(D84:AX84,"Yes")</f>
        <v/>
      </c>
      <c r="AZ84" s="69">
        <f>IF($AY84=0,"",SUMPRODUCT(($D84:$AX84="Yes")*($D$3:$AX$3="Expose via Zephyr"))/$AY84)</f>
        <v/>
      </c>
      <c r="BA84" s="69">
        <f>IF($AY84=0,"",SUMPRODUCT(($D84:$AX84="Yes")*($D$3:$AX$3="Deliver outside Zephyr"))/$AY84)</f>
        <v/>
      </c>
      <c r="BB84" s="69">
        <f>IF($AY84=0,"",1-$AZ84-$BA84)</f>
        <v/>
      </c>
    </row>
    <row r="85" outlineLevel="1" ht="20" customHeight="1">
      <c r="A85" s="41" t="n"/>
      <c r="B85" s="41" t="n"/>
      <c r="C85" s="41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18">
        <f>COUNTIF(D85:AX85,"Yes")</f>
        <v/>
      </c>
      <c r="AZ85" s="69">
        <f>IF($AY85=0,"",SUMPRODUCT(($D85:$AX85="Yes")*($D$3:$AX$3="Expose via Zephyr"))/$AY85)</f>
        <v/>
      </c>
      <c r="BA85" s="69">
        <f>IF($AY85=0,"",SUMPRODUCT(($D85:$AX85="Yes")*($D$3:$AX$3="Deliver outside Zephyr"))/$AY85)</f>
        <v/>
      </c>
      <c r="BB85" s="69">
        <f>IF($AY85=0,"",1-$AZ85-$BA85)</f>
        <v/>
      </c>
    </row>
    <row r="86" outlineLevel="1" ht="20" customHeight="1">
      <c r="A86" s="41" t="n"/>
      <c r="B86" s="41" t="n"/>
      <c r="C86" s="41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18">
        <f>COUNTIF(D86:AX86,"Yes")</f>
        <v/>
      </c>
      <c r="AZ86" s="69">
        <f>IF($AY86=0,"",SUMPRODUCT(($D86:$AX86="Yes")*($D$3:$AX$3="Expose via Zephyr"))/$AY86)</f>
        <v/>
      </c>
      <c r="BA86" s="69">
        <f>IF($AY86=0,"",SUMPRODUCT(($D86:$AX86="Yes")*($D$3:$AX$3="Deliver outside Zephyr"))/$AY86)</f>
        <v/>
      </c>
      <c r="BB86" s="69">
        <f>IF($AY86=0,"",1-$AZ86-$BA86)</f>
        <v/>
      </c>
    </row>
    <row r="87" outlineLevel="1" ht="20" customHeight="1">
      <c r="A87" s="41" t="n"/>
      <c r="B87" s="41" t="n"/>
      <c r="C87" s="41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18">
        <f>COUNTIF(D87:AX87,"Yes")</f>
        <v/>
      </c>
      <c r="AZ87" s="69">
        <f>IF($AY87=0,"",SUMPRODUCT(($D87:$AX87="Yes")*($D$3:$AX$3="Expose via Zephyr"))/$AY87)</f>
        <v/>
      </c>
      <c r="BA87" s="69">
        <f>IF($AY87=0,"",SUMPRODUCT(($D87:$AX87="Yes")*($D$3:$AX$3="Deliver outside Zephyr"))/$AY87)</f>
        <v/>
      </c>
      <c r="BB87" s="69">
        <f>IF($AY87=0,"",1-$AZ87-$BA87)</f>
        <v/>
      </c>
    </row>
    <row r="88" outlineLevel="1" ht="20" customHeight="1">
      <c r="A88" s="41" t="n"/>
      <c r="B88" s="41" t="n"/>
      <c r="C88" s="41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18">
        <f>COUNTIF(D88:AX88,"Yes")</f>
        <v/>
      </c>
      <c r="AZ88" s="69">
        <f>IF($AY88=0,"",SUMPRODUCT(($D88:$AX88="Yes")*($D$3:$AX$3="Expose via Zephyr"))/$AY88)</f>
        <v/>
      </c>
      <c r="BA88" s="69">
        <f>IF($AY88=0,"",SUMPRODUCT(($D88:$AX88="Yes")*($D$3:$AX$3="Deliver outside Zephyr"))/$AY88)</f>
        <v/>
      </c>
      <c r="BB88" s="69">
        <f>IF($AY88=0,"",1-$AZ88-$BA88)</f>
        <v/>
      </c>
    </row>
    <row r="89" outlineLevel="1" ht="20" customHeight="1">
      <c r="A89" s="41" t="n"/>
      <c r="B89" s="41" t="n"/>
      <c r="C89" s="41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18">
        <f>COUNTIF(D89:AX89,"Yes")</f>
        <v/>
      </c>
      <c r="AZ89" s="69">
        <f>IF($AY89=0,"",SUMPRODUCT(($D89:$AX89="Yes")*($D$3:$AX$3="Expose via Zephyr"))/$AY89)</f>
        <v/>
      </c>
      <c r="BA89" s="69">
        <f>IF($AY89=0,"",SUMPRODUCT(($D89:$AX89="Yes")*($D$3:$AX$3="Deliver outside Zephyr"))/$AY89)</f>
        <v/>
      </c>
      <c r="BB89" s="69">
        <f>IF($AY89=0,"",1-$AZ89-$BA89)</f>
        <v/>
      </c>
    </row>
    <row r="90" outlineLevel="1" ht="20" customHeight="1">
      <c r="A90" s="41" t="n"/>
      <c r="B90" s="41" t="n"/>
      <c r="C90" s="41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18">
        <f>COUNTIF(D90:AX90,"Yes")</f>
        <v/>
      </c>
      <c r="AZ90" s="69">
        <f>IF($AY90=0,"",SUMPRODUCT(($D90:$AX90="Yes")*($D$3:$AX$3="Expose via Zephyr"))/$AY90)</f>
        <v/>
      </c>
      <c r="BA90" s="69">
        <f>IF($AY90=0,"",SUMPRODUCT(($D90:$AX90="Yes")*($D$3:$AX$3="Deliver outside Zephyr"))/$AY90)</f>
        <v/>
      </c>
      <c r="BB90" s="69">
        <f>IF($AY90=0,"",1-$AZ90-$BA90)</f>
        <v/>
      </c>
    </row>
    <row r="91" outlineLevel="1" ht="20" customHeight="1">
      <c r="A91" s="41" t="n"/>
      <c r="B91" s="41" t="n"/>
      <c r="C91" s="41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18">
        <f>COUNTIF(D91:AX91,"Yes")</f>
        <v/>
      </c>
      <c r="AZ91" s="69">
        <f>IF($AY91=0,"",SUMPRODUCT(($D91:$AX91="Yes")*($D$3:$AX$3="Expose via Zephyr"))/$AY91)</f>
        <v/>
      </c>
      <c r="BA91" s="69">
        <f>IF($AY91=0,"",SUMPRODUCT(($D91:$AX91="Yes")*($D$3:$AX$3="Deliver outside Zephyr"))/$AY91)</f>
        <v/>
      </c>
      <c r="BB91" s="69">
        <f>IF($AY91=0,"",1-$AZ91-$BA91)</f>
        <v/>
      </c>
    </row>
    <row r="92" outlineLevel="1" ht="20" customHeight="1">
      <c r="A92" s="41" t="n"/>
      <c r="B92" s="41" t="n"/>
      <c r="C92" s="41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18">
        <f>COUNTIF(D92:AX92,"Yes")</f>
        <v/>
      </c>
      <c r="AZ92" s="69">
        <f>IF($AY92=0,"",SUMPRODUCT(($D92:$AX92="Yes")*($D$3:$AX$3="Expose via Zephyr"))/$AY92)</f>
        <v/>
      </c>
      <c r="BA92" s="69">
        <f>IF($AY92=0,"",SUMPRODUCT(($D92:$AX92="Yes")*($D$3:$AX$3="Deliver outside Zephyr"))/$AY92)</f>
        <v/>
      </c>
      <c r="BB92" s="69">
        <f>IF($AY92=0,"",1-$AZ92-$BA92)</f>
        <v/>
      </c>
    </row>
    <row r="93" ht="24" customHeight="1">
      <c r="A93" s="58" t="inlineStr">
        <is>
          <t>Client Computing (1 platform)</t>
        </is>
      </c>
      <c r="B93" s="59" t="n"/>
      <c r="C93" s="5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  <c r="AG93" s="39" t="n"/>
      <c r="AH93" s="39" t="n"/>
      <c r="AI93" s="39" t="n"/>
      <c r="AJ93" s="39" t="n"/>
      <c r="AK93" s="39" t="n"/>
      <c r="AL93" s="39" t="n"/>
      <c r="AM93" s="39" t="n"/>
      <c r="AN93" s="39" t="n"/>
      <c r="AO93" s="39" t="n"/>
      <c r="AP93" s="39" t="n"/>
      <c r="AQ93" s="39" t="n"/>
      <c r="AR93" s="39" t="n"/>
      <c r="AS93" s="39" t="n"/>
      <c r="AT93" s="39" t="n"/>
      <c r="AU93" s="39" t="n"/>
      <c r="AV93" s="39" t="n"/>
      <c r="AW93" s="39" t="n"/>
      <c r="AX93" s="39" t="n"/>
      <c r="AY93" s="60">
        <f>SUM(AY94:AY94)</f>
        <v/>
      </c>
      <c r="AZ93" s="75">
        <f>IF($AY93=0,"",SUMPRODUCT($AZ94:$AZ94,$AY94:$AY94)/$AY93)</f>
        <v/>
      </c>
      <c r="BA93" s="75">
        <f>IF($AY93=0,"",SUMPRODUCT($BA94:$BA94,$AY94:$AY94)/$AY93)</f>
        <v/>
      </c>
      <c r="BB93" s="75">
        <f>IF($AY93=0,"",1-$AZ93-$BA93)</f>
        <v/>
      </c>
    </row>
    <row r="94" outlineLevel="1" ht="20" customHeight="1">
      <c r="A94" s="41" t="n"/>
      <c r="B94" s="41" t="n"/>
      <c r="C94" s="41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18">
        <f>COUNTIF(D94:AX94,"Yes")</f>
        <v/>
      </c>
      <c r="AZ94" s="69">
        <f>IF($AY94=0,"",SUMPRODUCT(($D94:$AX94="Yes")*($D$3:$AX$3="Expose via Zephyr"))/$AY94)</f>
        <v/>
      </c>
      <c r="BA94" s="69">
        <f>IF($AY94=0,"",SUMPRODUCT(($D94:$AX94="Yes")*($D$3:$AX$3="Deliver outside Zephyr"))/$AY94)</f>
        <v/>
      </c>
      <c r="BB94" s="69">
        <f>IF($AY94=0,"",1-$AZ94-$BA94)</f>
        <v/>
      </c>
    </row>
    <row r="95" ht="24" customHeight="1">
      <c r="A95" s="61" t="inlineStr">
        <is>
          <t>Mainframe (4 platforms)</t>
        </is>
      </c>
      <c r="B95" s="62" t="n"/>
      <c r="C95" s="62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  <c r="AG95" s="39" t="n"/>
      <c r="AH95" s="39" t="n"/>
      <c r="AI95" s="39" t="n"/>
      <c r="AJ95" s="39" t="n"/>
      <c r="AK95" s="39" t="n"/>
      <c r="AL95" s="39" t="n"/>
      <c r="AM95" s="39" t="n"/>
      <c r="AN95" s="39" t="n"/>
      <c r="AO95" s="39" t="n"/>
      <c r="AP95" s="39" t="n"/>
      <c r="AQ95" s="39" t="n"/>
      <c r="AR95" s="39" t="n"/>
      <c r="AS95" s="39" t="n"/>
      <c r="AT95" s="39" t="n"/>
      <c r="AU95" s="39" t="n"/>
      <c r="AV95" s="39" t="n"/>
      <c r="AW95" s="39" t="n"/>
      <c r="AX95" s="39" t="n"/>
      <c r="AY95" s="63">
        <f>SUM(AY96:AY99)</f>
        <v/>
      </c>
      <c r="AZ95" s="76">
        <f>IF($AY95=0,"",SUMPRODUCT($AZ96:$AZ99,$AY96:$AY99)/$AY95)</f>
        <v/>
      </c>
      <c r="BA95" s="76">
        <f>IF($AY95=0,"",SUMPRODUCT($BA96:$BA99,$AY96:$AY99)/$AY95)</f>
        <v/>
      </c>
      <c r="BB95" s="76">
        <f>IF($AY95=0,"",1-$AZ95-$BA95)</f>
        <v/>
      </c>
    </row>
    <row r="96" outlineLevel="1" ht="20" customHeight="1">
      <c r="A96" s="41" t="n"/>
      <c r="B96" s="41" t="n"/>
      <c r="C96" s="41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18">
        <f>COUNTIF(D96:AX96,"Yes")</f>
        <v/>
      </c>
      <c r="AZ96" s="69">
        <f>IF($AY96=0,"",SUMPRODUCT(($D96:$AX96="Yes")*($D$3:$AX$3="Expose via Zephyr"))/$AY96)</f>
        <v/>
      </c>
      <c r="BA96" s="69">
        <f>IF($AY96=0,"",SUMPRODUCT(($D96:$AX96="Yes")*($D$3:$AX$3="Deliver outside Zephyr"))/$AY96)</f>
        <v/>
      </c>
      <c r="BB96" s="69">
        <f>IF($AY96=0,"",1-$AZ96-$BA96)</f>
        <v/>
      </c>
    </row>
    <row r="97" outlineLevel="1" ht="20" customHeight="1">
      <c r="A97" s="41" t="n"/>
      <c r="B97" s="41" t="n"/>
      <c r="C97" s="41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18">
        <f>COUNTIF(D97:AX97,"Yes")</f>
        <v/>
      </c>
      <c r="AZ97" s="69">
        <f>IF($AY97=0,"",SUMPRODUCT(($D97:$AX97="Yes")*($D$3:$AX$3="Expose via Zephyr"))/$AY97)</f>
        <v/>
      </c>
      <c r="BA97" s="69">
        <f>IF($AY97=0,"",SUMPRODUCT(($D97:$AX97="Yes")*($D$3:$AX$3="Deliver outside Zephyr"))/$AY97)</f>
        <v/>
      </c>
      <c r="BB97" s="69">
        <f>IF($AY97=0,"",1-$AZ97-$BA97)</f>
        <v/>
      </c>
    </row>
    <row r="98" outlineLevel="1" ht="20" customHeight="1">
      <c r="A98" s="41" t="n"/>
      <c r="B98" s="41" t="n"/>
      <c r="C98" s="41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18">
        <f>COUNTIF(D98:AX98,"Yes")</f>
        <v/>
      </c>
      <c r="AZ98" s="69">
        <f>IF($AY98=0,"",SUMPRODUCT(($D98:$AX98="Yes")*($D$3:$AX$3="Expose via Zephyr"))/$AY98)</f>
        <v/>
      </c>
      <c r="BA98" s="69">
        <f>IF($AY98=0,"",SUMPRODUCT(($D98:$AX98="Yes")*($D$3:$AX$3="Deliver outside Zephyr"))/$AY98)</f>
        <v/>
      </c>
      <c r="BB98" s="69">
        <f>IF($AY98=0,"",1-$AZ98-$BA98)</f>
        <v/>
      </c>
    </row>
    <row r="99" outlineLevel="1" ht="20" customHeight="1">
      <c r="A99" s="41" t="n"/>
      <c r="B99" s="41" t="n"/>
      <c r="C99" s="41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18">
        <f>COUNTIF(D99:AX99,"Yes")</f>
        <v/>
      </c>
      <c r="AZ99" s="69">
        <f>IF($AY99=0,"",SUMPRODUCT(($D99:$AX99="Yes")*($D$3:$AX$3="Expose via Zephyr"))/$AY99)</f>
        <v/>
      </c>
      <c r="BA99" s="69">
        <f>IF($AY99=0,"",SUMPRODUCT(($D99:$AX99="Yes")*($D$3:$AX$3="Deliver outside Zephyr"))/$AY99)</f>
        <v/>
      </c>
      <c r="BB99" s="69">
        <f>IF($AY99=0,"",1-$AZ99-$BA99)</f>
        <v/>
      </c>
    </row>
    <row r="100" ht="24" customHeight="1">
      <c r="A100" s="85" t="inlineStr">
        <is>
          <t>PORTFOLIO TOTAL</t>
        </is>
      </c>
      <c r="B100" s="86" t="n"/>
      <c r="C100" s="86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  <c r="AG100" s="39" t="n"/>
      <c r="AH100" s="39" t="n"/>
      <c r="AI100" s="39" t="n"/>
      <c r="AJ100" s="39" t="n"/>
      <c r="AK100" s="39" t="n"/>
      <c r="AL100" s="39" t="n"/>
      <c r="AM100" s="39" t="n"/>
      <c r="AN100" s="39" t="n"/>
      <c r="AO100" s="39" t="n"/>
      <c r="AP100" s="39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  <c r="AY100" s="87">
        <f>SUM(AY4,AY31,AY46,AY63,AY70,AY74,AY93,AY95)</f>
        <v/>
      </c>
      <c r="AZ100" s="88">
        <f>IF($AY100=0,"",(N(AZ4)*AY4+N(AZ31)*AY31+N(AZ46)*AY46+N(AZ63)*AY63+N(AZ70)*AY70+N(AZ74)*AY74+N(AZ93)*AY93+N(AZ95)*AY95)/$AY100)</f>
        <v/>
      </c>
      <c r="BA100" s="88">
        <f>IF($AY100=0,"",(N(BA4)*AY4+N(BA31)*AY31+N(BA46)*AY46+N(BA63)*AY63+N(BA70)*AY70+N(BA74)*AY74+N(BA93)*AY93+N(BA95)*AY95)/$AY100)</f>
        <v/>
      </c>
      <c r="BB100" s="88">
        <f>IF($AY100=0,"",1-AZ100-BA100)</f>
        <v/>
      </c>
    </row>
  </sheetData>
  <mergeCells count="20">
    <mergeCell ref="AQ1:AT1"/>
    <mergeCell ref="F1:S1"/>
    <mergeCell ref="D1:E1"/>
    <mergeCell ref="A46:C46"/>
    <mergeCell ref="A74:C74"/>
    <mergeCell ref="A3:C3"/>
    <mergeCell ref="A95:C95"/>
    <mergeCell ref="AE1:AJ1"/>
    <mergeCell ref="A100:C100"/>
    <mergeCell ref="A4:C4"/>
    <mergeCell ref="AU1:AX1"/>
    <mergeCell ref="A63:C63"/>
    <mergeCell ref="A93:C93"/>
    <mergeCell ref="A31:C31"/>
    <mergeCell ref="T1:AD1"/>
    <mergeCell ref="AZ1:BB1"/>
    <mergeCell ref="A1:C1"/>
    <mergeCell ref="A70:C70"/>
    <mergeCell ref="AL1:AP1"/>
    <mergeCell ref="AK1"/>
  </mergeCells>
  <conditionalFormatting sqref="D3:AX3">
    <cfRule type="expression" priority="1" dxfId="2">
      <formula>$D3="Expose via Zephyr"</formula>
    </cfRule>
    <cfRule type="expression" priority="2" dxfId="3">
      <formula>$D3="Deliver outside Zephyr"</formula>
    </cfRule>
    <cfRule type="expression" priority="3" dxfId="1">
      <formula>$D3="Defer"</formula>
    </cfRule>
    <cfRule type="expression" priority="4" dxfId="4">
      <formula>$D3="Park"</formula>
    </cfRule>
  </conditionalFormatting>
  <conditionalFormatting sqref="D4:D99">
    <cfRule type="expression" priority="5" dxfId="2">
      <formula>$D4="Yes"</formula>
    </cfRule>
    <cfRule type="expression" priority="6" dxfId="0">
      <formula>$D4="No"</formula>
    </cfRule>
    <cfRule type="expression" priority="7" dxfId="1">
      <formula>$D4="TBD"</formula>
    </cfRule>
  </conditionalFormatting>
  <conditionalFormatting sqref="E4:E99">
    <cfRule type="expression" priority="8" dxfId="2">
      <formula>$E4="Yes"</formula>
    </cfRule>
    <cfRule type="expression" priority="9" dxfId="0">
      <formula>$E4="No"</formula>
    </cfRule>
    <cfRule type="expression" priority="10" dxfId="1">
      <formula>$E4="TBD"</formula>
    </cfRule>
  </conditionalFormatting>
  <conditionalFormatting sqref="F4:F99">
    <cfRule type="expression" priority="11" dxfId="2">
      <formula>$F4="Yes"</formula>
    </cfRule>
    <cfRule type="expression" priority="12" dxfId="0">
      <formula>$F4="No"</formula>
    </cfRule>
    <cfRule type="expression" priority="13" dxfId="1">
      <formula>$F4="TBD"</formula>
    </cfRule>
  </conditionalFormatting>
  <conditionalFormatting sqref="G4:G99">
    <cfRule type="expression" priority="14" dxfId="2">
      <formula>$G4="Yes"</formula>
    </cfRule>
    <cfRule type="expression" priority="15" dxfId="0">
      <formula>$G4="No"</formula>
    </cfRule>
    <cfRule type="expression" priority="16" dxfId="1">
      <formula>$G4="TBD"</formula>
    </cfRule>
  </conditionalFormatting>
  <conditionalFormatting sqref="H4:H99">
    <cfRule type="expression" priority="17" dxfId="2">
      <formula>$H4="Yes"</formula>
    </cfRule>
    <cfRule type="expression" priority="18" dxfId="0">
      <formula>$H4="No"</formula>
    </cfRule>
    <cfRule type="expression" priority="19" dxfId="1">
      <formula>$H4="TBD"</formula>
    </cfRule>
  </conditionalFormatting>
  <conditionalFormatting sqref="I4:I99">
    <cfRule type="expression" priority="20" dxfId="2">
      <formula>$I4="Yes"</formula>
    </cfRule>
    <cfRule type="expression" priority="21" dxfId="0">
      <formula>$I4="No"</formula>
    </cfRule>
    <cfRule type="expression" priority="22" dxfId="1">
      <formula>$I4="TBD"</formula>
    </cfRule>
  </conditionalFormatting>
  <conditionalFormatting sqref="J4:J99">
    <cfRule type="expression" priority="23" dxfId="2">
      <formula>$J4="Yes"</formula>
    </cfRule>
    <cfRule type="expression" priority="24" dxfId="0">
      <formula>$J4="No"</formula>
    </cfRule>
    <cfRule type="expression" priority="25" dxfId="1">
      <formula>$J4="TBD"</formula>
    </cfRule>
  </conditionalFormatting>
  <conditionalFormatting sqref="K4:K99">
    <cfRule type="expression" priority="26" dxfId="2">
      <formula>$K4="Yes"</formula>
    </cfRule>
    <cfRule type="expression" priority="27" dxfId="0">
      <formula>$K4="No"</formula>
    </cfRule>
    <cfRule type="expression" priority="28" dxfId="1">
      <formula>$K4="TBD"</formula>
    </cfRule>
  </conditionalFormatting>
  <conditionalFormatting sqref="L4:L99">
    <cfRule type="expression" priority="29" dxfId="2">
      <formula>$L4="Yes"</formula>
    </cfRule>
    <cfRule type="expression" priority="30" dxfId="0">
      <formula>$L4="No"</formula>
    </cfRule>
    <cfRule type="expression" priority="31" dxfId="1">
      <formula>$L4="TBD"</formula>
    </cfRule>
  </conditionalFormatting>
  <conditionalFormatting sqref="M4:M99">
    <cfRule type="expression" priority="32" dxfId="2">
      <formula>$M4="Yes"</formula>
    </cfRule>
    <cfRule type="expression" priority="33" dxfId="0">
      <formula>$M4="No"</formula>
    </cfRule>
    <cfRule type="expression" priority="34" dxfId="1">
      <formula>$M4="TBD"</formula>
    </cfRule>
  </conditionalFormatting>
  <conditionalFormatting sqref="N4:N99">
    <cfRule type="expression" priority="35" dxfId="2">
      <formula>$N4="Yes"</formula>
    </cfRule>
    <cfRule type="expression" priority="36" dxfId="0">
      <formula>$N4="No"</formula>
    </cfRule>
    <cfRule type="expression" priority="37" dxfId="1">
      <formula>$N4="TBD"</formula>
    </cfRule>
  </conditionalFormatting>
  <conditionalFormatting sqref="O4:O99">
    <cfRule type="expression" priority="38" dxfId="2">
      <formula>$O4="Yes"</formula>
    </cfRule>
    <cfRule type="expression" priority="39" dxfId="0">
      <formula>$O4="No"</formula>
    </cfRule>
    <cfRule type="expression" priority="40" dxfId="1">
      <formula>$O4="TBD"</formula>
    </cfRule>
  </conditionalFormatting>
  <conditionalFormatting sqref="P4:P99">
    <cfRule type="expression" priority="41" dxfId="2">
      <formula>$P4="Yes"</formula>
    </cfRule>
    <cfRule type="expression" priority="42" dxfId="0">
      <formula>$P4="No"</formula>
    </cfRule>
    <cfRule type="expression" priority="43" dxfId="1">
      <formula>$P4="TBD"</formula>
    </cfRule>
  </conditionalFormatting>
  <conditionalFormatting sqref="Q4:Q99">
    <cfRule type="expression" priority="44" dxfId="2">
      <formula>$Q4="Yes"</formula>
    </cfRule>
    <cfRule type="expression" priority="45" dxfId="0">
      <formula>$Q4="No"</formula>
    </cfRule>
    <cfRule type="expression" priority="46" dxfId="1">
      <formula>$Q4="TBD"</formula>
    </cfRule>
  </conditionalFormatting>
  <conditionalFormatting sqref="R4:R99">
    <cfRule type="expression" priority="47" dxfId="2">
      <formula>$R4="Yes"</formula>
    </cfRule>
    <cfRule type="expression" priority="48" dxfId="0">
      <formula>$R4="No"</formula>
    </cfRule>
    <cfRule type="expression" priority="49" dxfId="1">
      <formula>$R4="TBD"</formula>
    </cfRule>
  </conditionalFormatting>
  <conditionalFormatting sqref="S4:S99">
    <cfRule type="expression" priority="50" dxfId="2">
      <formula>$S4="Yes"</formula>
    </cfRule>
    <cfRule type="expression" priority="51" dxfId="0">
      <formula>$S4="No"</formula>
    </cfRule>
    <cfRule type="expression" priority="52" dxfId="1">
      <formula>$S4="TBD"</formula>
    </cfRule>
  </conditionalFormatting>
  <conditionalFormatting sqref="T4:T99">
    <cfRule type="expression" priority="53" dxfId="2">
      <formula>$T4="Yes"</formula>
    </cfRule>
    <cfRule type="expression" priority="54" dxfId="0">
      <formula>$T4="No"</formula>
    </cfRule>
    <cfRule type="expression" priority="55" dxfId="1">
      <formula>$T4="TBD"</formula>
    </cfRule>
  </conditionalFormatting>
  <conditionalFormatting sqref="U4:U99">
    <cfRule type="expression" priority="56" dxfId="2">
      <formula>$U4="Yes"</formula>
    </cfRule>
    <cfRule type="expression" priority="57" dxfId="0">
      <formula>$U4="No"</formula>
    </cfRule>
    <cfRule type="expression" priority="58" dxfId="1">
      <formula>$U4="TBD"</formula>
    </cfRule>
  </conditionalFormatting>
  <conditionalFormatting sqref="V4:V99">
    <cfRule type="expression" priority="59" dxfId="2">
      <formula>$V4="Yes"</formula>
    </cfRule>
    <cfRule type="expression" priority="60" dxfId="0">
      <formula>$V4="No"</formula>
    </cfRule>
    <cfRule type="expression" priority="61" dxfId="1">
      <formula>$V4="TBD"</formula>
    </cfRule>
  </conditionalFormatting>
  <conditionalFormatting sqref="W4:W99">
    <cfRule type="expression" priority="62" dxfId="2">
      <formula>$W4="Yes"</formula>
    </cfRule>
    <cfRule type="expression" priority="63" dxfId="0">
      <formula>$W4="No"</formula>
    </cfRule>
    <cfRule type="expression" priority="64" dxfId="1">
      <formula>$W4="TBD"</formula>
    </cfRule>
  </conditionalFormatting>
  <conditionalFormatting sqref="X4:X99">
    <cfRule type="expression" priority="65" dxfId="2">
      <formula>$X4="Yes"</formula>
    </cfRule>
    <cfRule type="expression" priority="66" dxfId="0">
      <formula>$X4="No"</formula>
    </cfRule>
    <cfRule type="expression" priority="67" dxfId="1">
      <formula>$X4="TBD"</formula>
    </cfRule>
  </conditionalFormatting>
  <conditionalFormatting sqref="Y4:Y99">
    <cfRule type="expression" priority="68" dxfId="2">
      <formula>$Y4="Yes"</formula>
    </cfRule>
    <cfRule type="expression" priority="69" dxfId="0">
      <formula>$Y4="No"</formula>
    </cfRule>
    <cfRule type="expression" priority="70" dxfId="1">
      <formula>$Y4="TBD"</formula>
    </cfRule>
  </conditionalFormatting>
  <conditionalFormatting sqref="Z4:Z99">
    <cfRule type="expression" priority="71" dxfId="2">
      <formula>$Z4="Yes"</formula>
    </cfRule>
    <cfRule type="expression" priority="72" dxfId="0">
      <formula>$Z4="No"</formula>
    </cfRule>
    <cfRule type="expression" priority="73" dxfId="1">
      <formula>$Z4="TBD"</formula>
    </cfRule>
  </conditionalFormatting>
  <conditionalFormatting sqref="AA4:AA99">
    <cfRule type="expression" priority="74" dxfId="2">
      <formula>$AA4="Yes"</formula>
    </cfRule>
    <cfRule type="expression" priority="75" dxfId="0">
      <formula>$AA4="No"</formula>
    </cfRule>
    <cfRule type="expression" priority="76" dxfId="1">
      <formula>$AA4="TBD"</formula>
    </cfRule>
  </conditionalFormatting>
  <conditionalFormatting sqref="AB4:AB99">
    <cfRule type="expression" priority="77" dxfId="2">
      <formula>$AB4="Yes"</formula>
    </cfRule>
    <cfRule type="expression" priority="78" dxfId="0">
      <formula>$AB4="No"</formula>
    </cfRule>
    <cfRule type="expression" priority="79" dxfId="1">
      <formula>$AB4="TBD"</formula>
    </cfRule>
  </conditionalFormatting>
  <conditionalFormatting sqref="AC4:AC99">
    <cfRule type="expression" priority="80" dxfId="2">
      <formula>$AC4="Yes"</formula>
    </cfRule>
    <cfRule type="expression" priority="81" dxfId="0">
      <formula>$AC4="No"</formula>
    </cfRule>
    <cfRule type="expression" priority="82" dxfId="1">
      <formula>$AC4="TBD"</formula>
    </cfRule>
  </conditionalFormatting>
  <conditionalFormatting sqref="AD4:AD99">
    <cfRule type="expression" priority="83" dxfId="2">
      <formula>$AD4="Yes"</formula>
    </cfRule>
    <cfRule type="expression" priority="84" dxfId="0">
      <formula>$AD4="No"</formula>
    </cfRule>
    <cfRule type="expression" priority="85" dxfId="1">
      <formula>$AD4="TBD"</formula>
    </cfRule>
  </conditionalFormatting>
  <conditionalFormatting sqref="AE4:AE99">
    <cfRule type="expression" priority="86" dxfId="2">
      <formula>$AE4="Yes"</formula>
    </cfRule>
    <cfRule type="expression" priority="87" dxfId="0">
      <formula>$AE4="No"</formula>
    </cfRule>
    <cfRule type="expression" priority="88" dxfId="1">
      <formula>$AE4="TBD"</formula>
    </cfRule>
  </conditionalFormatting>
  <conditionalFormatting sqref="AF4:AF99">
    <cfRule type="expression" priority="89" dxfId="2">
      <formula>$AF4="Yes"</formula>
    </cfRule>
    <cfRule type="expression" priority="90" dxfId="0">
      <formula>$AF4="No"</formula>
    </cfRule>
    <cfRule type="expression" priority="91" dxfId="1">
      <formula>$AF4="TBD"</formula>
    </cfRule>
  </conditionalFormatting>
  <conditionalFormatting sqref="AG4:AG99">
    <cfRule type="expression" priority="92" dxfId="2">
      <formula>$AG4="Yes"</formula>
    </cfRule>
    <cfRule type="expression" priority="93" dxfId="0">
      <formula>$AG4="No"</formula>
    </cfRule>
    <cfRule type="expression" priority="94" dxfId="1">
      <formula>$AG4="TBD"</formula>
    </cfRule>
  </conditionalFormatting>
  <conditionalFormatting sqref="AH4:AH99">
    <cfRule type="expression" priority="95" dxfId="2">
      <formula>$AH4="Yes"</formula>
    </cfRule>
    <cfRule type="expression" priority="96" dxfId="0">
      <formula>$AH4="No"</formula>
    </cfRule>
    <cfRule type="expression" priority="97" dxfId="1">
      <formula>$AH4="TBD"</formula>
    </cfRule>
  </conditionalFormatting>
  <conditionalFormatting sqref="AI4:AI99">
    <cfRule type="expression" priority="98" dxfId="2">
      <formula>$AI4="Yes"</formula>
    </cfRule>
    <cfRule type="expression" priority="99" dxfId="0">
      <formula>$AI4="No"</formula>
    </cfRule>
    <cfRule type="expression" priority="100" dxfId="1">
      <formula>$AI4="TBD"</formula>
    </cfRule>
  </conditionalFormatting>
  <conditionalFormatting sqref="AJ4:AJ99">
    <cfRule type="expression" priority="101" dxfId="2">
      <formula>$AJ4="Yes"</formula>
    </cfRule>
    <cfRule type="expression" priority="102" dxfId="0">
      <formula>$AJ4="No"</formula>
    </cfRule>
    <cfRule type="expression" priority="103" dxfId="1">
      <formula>$AJ4="TBD"</formula>
    </cfRule>
  </conditionalFormatting>
  <conditionalFormatting sqref="AK4:AK99">
    <cfRule type="expression" priority="104" dxfId="2">
      <formula>$AK4="Yes"</formula>
    </cfRule>
    <cfRule type="expression" priority="105" dxfId="0">
      <formula>$AK4="No"</formula>
    </cfRule>
    <cfRule type="expression" priority="106" dxfId="1">
      <formula>$AK4="TBD"</formula>
    </cfRule>
  </conditionalFormatting>
  <conditionalFormatting sqref="AL4:AL99">
    <cfRule type="expression" priority="107" dxfId="2">
      <formula>$AL4="Yes"</formula>
    </cfRule>
    <cfRule type="expression" priority="108" dxfId="0">
      <formula>$AL4="No"</formula>
    </cfRule>
    <cfRule type="expression" priority="109" dxfId="1">
      <formula>$AL4="TBD"</formula>
    </cfRule>
  </conditionalFormatting>
  <conditionalFormatting sqref="AM4:AM99">
    <cfRule type="expression" priority="110" dxfId="2">
      <formula>$AM4="Yes"</formula>
    </cfRule>
    <cfRule type="expression" priority="111" dxfId="0">
      <formula>$AM4="No"</formula>
    </cfRule>
    <cfRule type="expression" priority="112" dxfId="1">
      <formula>$AM4="TBD"</formula>
    </cfRule>
  </conditionalFormatting>
  <conditionalFormatting sqref="AN4:AN99">
    <cfRule type="expression" priority="113" dxfId="2">
      <formula>$AN4="Yes"</formula>
    </cfRule>
    <cfRule type="expression" priority="114" dxfId="0">
      <formula>$AN4="No"</formula>
    </cfRule>
    <cfRule type="expression" priority="115" dxfId="1">
      <formula>$AN4="TBD"</formula>
    </cfRule>
  </conditionalFormatting>
  <conditionalFormatting sqref="AO4:AO99">
    <cfRule type="expression" priority="116" dxfId="2">
      <formula>$AO4="Yes"</formula>
    </cfRule>
    <cfRule type="expression" priority="117" dxfId="0">
      <formula>$AO4="No"</formula>
    </cfRule>
    <cfRule type="expression" priority="118" dxfId="1">
      <formula>$AO4="TBD"</formula>
    </cfRule>
  </conditionalFormatting>
  <conditionalFormatting sqref="AP4:AP99">
    <cfRule type="expression" priority="119" dxfId="2">
      <formula>$AP4="Yes"</formula>
    </cfRule>
    <cfRule type="expression" priority="120" dxfId="0">
      <formula>$AP4="No"</formula>
    </cfRule>
    <cfRule type="expression" priority="121" dxfId="1">
      <formula>$AP4="TBD"</formula>
    </cfRule>
  </conditionalFormatting>
  <conditionalFormatting sqref="AQ4:AQ99">
    <cfRule type="expression" priority="122" dxfId="2">
      <formula>$AQ4="Yes"</formula>
    </cfRule>
    <cfRule type="expression" priority="123" dxfId="0">
      <formula>$AQ4="No"</formula>
    </cfRule>
    <cfRule type="expression" priority="124" dxfId="1">
      <formula>$AQ4="TBD"</formula>
    </cfRule>
  </conditionalFormatting>
  <conditionalFormatting sqref="AR4:AR99">
    <cfRule type="expression" priority="125" dxfId="2">
      <formula>$AR4="Yes"</formula>
    </cfRule>
    <cfRule type="expression" priority="126" dxfId="0">
      <formula>$AR4="No"</formula>
    </cfRule>
    <cfRule type="expression" priority="127" dxfId="1">
      <formula>$AR4="TBD"</formula>
    </cfRule>
  </conditionalFormatting>
  <conditionalFormatting sqref="AS4:AS99">
    <cfRule type="expression" priority="128" dxfId="2">
      <formula>$AS4="Yes"</formula>
    </cfRule>
    <cfRule type="expression" priority="129" dxfId="0">
      <formula>$AS4="No"</formula>
    </cfRule>
    <cfRule type="expression" priority="130" dxfId="1">
      <formula>$AS4="TBD"</formula>
    </cfRule>
  </conditionalFormatting>
  <conditionalFormatting sqref="AT4:AT99">
    <cfRule type="expression" priority="131" dxfId="2">
      <formula>$AT4="Yes"</formula>
    </cfRule>
    <cfRule type="expression" priority="132" dxfId="0">
      <formula>$AT4="No"</formula>
    </cfRule>
    <cfRule type="expression" priority="133" dxfId="1">
      <formula>$AT4="TBD"</formula>
    </cfRule>
  </conditionalFormatting>
  <conditionalFormatting sqref="AU4:AU99">
    <cfRule type="expression" priority="134" dxfId="2">
      <formula>$AU4="Yes"</formula>
    </cfRule>
    <cfRule type="expression" priority="135" dxfId="0">
      <formula>$AU4="No"</formula>
    </cfRule>
    <cfRule type="expression" priority="136" dxfId="1">
      <formula>$AU4="TBD"</formula>
    </cfRule>
  </conditionalFormatting>
  <conditionalFormatting sqref="AV4:AV99">
    <cfRule type="expression" priority="137" dxfId="2">
      <formula>$AV4="Yes"</formula>
    </cfRule>
    <cfRule type="expression" priority="138" dxfId="0">
      <formula>$AV4="No"</formula>
    </cfRule>
    <cfRule type="expression" priority="139" dxfId="1">
      <formula>$AV4="TBD"</formula>
    </cfRule>
  </conditionalFormatting>
  <conditionalFormatting sqref="AW4:AW99">
    <cfRule type="expression" priority="140" dxfId="2">
      <formula>$AW4="Yes"</formula>
    </cfRule>
    <cfRule type="expression" priority="141" dxfId="0">
      <formula>$AW4="No"</formula>
    </cfRule>
    <cfRule type="expression" priority="142" dxfId="1">
      <formula>$AW4="TBD"</formula>
    </cfRule>
  </conditionalFormatting>
  <conditionalFormatting sqref="AX4:AX99">
    <cfRule type="expression" priority="143" dxfId="2">
      <formula>$AX4="Yes"</formula>
    </cfRule>
    <cfRule type="expression" priority="144" dxfId="0">
      <formula>$AX4="No"</formula>
    </cfRule>
    <cfRule type="expression" priority="145" dxfId="1">
      <formula>$AX4="TBD"</formula>
    </cfRule>
  </conditionalFormatting>
  <conditionalFormatting sqref="C4:C99">
    <cfRule type="expression" priority="146" dxfId="2">
      <formula>$C4="Complete"</formula>
    </cfRule>
    <cfRule type="expression" priority="147" dxfId="1">
      <formula>$C4="In Progress"</formula>
    </cfRule>
    <cfRule type="expression" priority="148" dxfId="4">
      <formula>$C4="Not Started"</formula>
    </cfRule>
  </conditionalFormatting>
  <dataValidations count="3">
    <dataValidation sqref="D3:AX3" showDropDown="0" showInputMessage="0" showErrorMessage="0" allowBlank="1" errorTitle="Invalid value" error="Pick a decision from the dropdown." type="list">
      <formula1>"Expose via Zephyr,Deliver outside Zephyr,Defer,Park,TBD"</formula1>
    </dataValidation>
    <dataValidation sqref="D4:AX99" showDropDown="0" showInputMessage="0" showErrorMessage="0" allowBlank="1" errorTitle="Invalid value" error="Pick Yes, No, or TBD." type="list">
      <formula1>"Yes,No,TBD"</formula1>
    </dataValidation>
    <dataValidation sqref="C4:C99" showDropDown="0" showInputMessage="0" showErrorMessage="0" allowBlank="1" type="list">
      <formula1>"Not Started,In Progress,Complete,TBD"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80" customWidth="1" min="3" max="3"/>
  </cols>
  <sheetData>
    <row r="1" ht="28" customHeight="1">
      <c r="A1" s="89" t="inlineStr">
        <is>
          <t>Area</t>
        </is>
      </c>
      <c r="B1" s="89" t="inlineStr">
        <is>
          <t>Value</t>
        </is>
      </c>
      <c r="C1" s="89" t="inlineStr">
        <is>
          <t>What it means</t>
        </is>
      </c>
    </row>
    <row r="2" ht="24" customHeight="1">
      <c r="A2" s="3" t="inlineStr">
        <is>
          <t>ZEPHYR DECISION (set on the Platforms helper row, one per capability)</t>
        </is>
      </c>
    </row>
    <row r="3" ht="36" customHeight="1">
      <c r="A3" s="19" t="inlineStr">
        <is>
          <t>Zephyr decision</t>
        </is>
      </c>
      <c r="B3" s="16" t="inlineStr">
        <is>
          <t>Expose via Zephyr</t>
        </is>
      </c>
      <c r="C3" s="16" t="inlineStr">
        <is>
          <t>Capability is exposed to consumers through Zephyr (catalog / Add to Solution). Counts toward % via Zephyr.</t>
        </is>
      </c>
    </row>
    <row r="4" ht="36" customHeight="1">
      <c r="A4" s="16" t="inlineStr"/>
      <c r="B4" s="16" t="inlineStr">
        <is>
          <t>Deliver outside Zephyr</t>
        </is>
      </c>
      <c r="C4" s="16" t="inlineStr">
        <is>
          <t>RBC Cloud delivers without Zephyr involvement. Counts toward % outside Zephyr.</t>
        </is>
      </c>
    </row>
    <row r="5" ht="36" customHeight="1">
      <c r="A5" s="16" t="inlineStr"/>
      <c r="B5" s="16" t="inlineStr">
        <is>
          <t>Defer</t>
        </is>
      </c>
      <c r="C5" s="16" t="inlineStr">
        <is>
          <t>Valid need, but not for 2027. Counts as undecided for now.</t>
        </is>
      </c>
    </row>
    <row r="6" ht="36" customHeight="1">
      <c r="A6" s="16" t="inlineStr"/>
      <c r="B6" s="16" t="inlineStr">
        <is>
          <t>Park</t>
        </is>
      </c>
      <c r="C6" s="16" t="inlineStr">
        <is>
          <t>No 2027 value. Counts as undecided for now.</t>
        </is>
      </c>
    </row>
    <row r="7" ht="36" customHeight="1">
      <c r="A7" s="16" t="inlineStr"/>
      <c r="B7" s="16" t="inlineStr">
        <is>
          <t>TBD / blank</t>
        </is>
      </c>
      <c r="C7" s="16" t="inlineStr">
        <is>
          <t>Not yet decided. Counts as undecided.</t>
        </is>
      </c>
    </row>
    <row r="8" ht="24" customHeight="1">
      <c r="A8" s="3" t="inlineStr">
        <is>
          <t>PLATFORMS TAB</t>
        </is>
      </c>
    </row>
    <row r="9" ht="36" customHeight="1">
      <c r="A9" s="19" t="inlineStr">
        <is>
          <t>Platforms tab</t>
        </is>
      </c>
      <c r="B9" s="16" t="inlineStr">
        <is>
          <t>Yes / No / TBD</t>
        </is>
      </c>
      <c r="C9" s="16" t="inlineStr">
        <is>
          <t>Whether the capability applies to that platform: Yes = in scope, No = not applicable, TBD = not yet assessed.</t>
        </is>
      </c>
    </row>
    <row r="10" ht="36" customHeight="1">
      <c r="A10" s="16" t="inlineStr"/>
      <c r="B10" s="16" t="inlineStr">
        <is>
          <t>Rollout Status</t>
        </is>
      </c>
      <c r="C10" s="16" t="inlineStr">
        <is>
          <t>Platform rollout state: Not Started / In Progress / Complete / TBD.</t>
        </is>
      </c>
    </row>
    <row r="11" ht="36" customHeight="1">
      <c r="A11" s="16" t="inlineStr"/>
      <c r="B11" s="16" t="inlineStr">
        <is>
          <t>In scope</t>
        </is>
      </c>
      <c r="C11" s="16" t="inlineStr">
        <is>
          <t>Per platform: count of capabilities marked Yes. Category headers and the portfolio total sum automatically.</t>
        </is>
      </c>
    </row>
    <row r="12" ht="36" customHeight="1">
      <c r="A12" s="16" t="inlineStr"/>
      <c r="B12" s="16" t="inlineStr">
        <is>
          <t>% via Zephyr / % outside / % undecided</t>
        </is>
      </c>
      <c r="C12" s="16" t="inlineStr">
        <is>
          <t>Share of in-scope capabilities by Zephyr decision. Updates automatically when decisions are set on the helper row.</t>
        </is>
      </c>
    </row>
    <row r="13" ht="36" customHeight="1">
      <c r="A13" s="16" t="inlineStr"/>
      <c r="B13" s="16" t="inlineStr">
        <is>
          <t>Collapsible groups</t>
        </is>
      </c>
      <c r="C13" s="16" t="inlineStr">
        <is>
          <t>Use the +/- outline buttons on the left edge to collapse or expand each platform category.</t>
        </is>
      </c>
    </row>
    <row r="14" ht="36" customHeight="1">
      <c r="A14" s="16" t="inlineStr"/>
      <c r="B14" s="16" t="inlineStr">
        <is>
          <t>Planned</t>
        </is>
      </c>
      <c r="C14" s="16" t="inlineStr">
        <is>
          <t>Hours-saved tracking (Before / After Zephyr hours) — to be added.</t>
        </is>
      </c>
    </row>
    <row r="15" ht="52" customHeight="1">
      <c r="A15" s="16" t="inlineStr"/>
      <c r="B15" s="16" t="inlineStr">
        <is>
          <t>47 capability columns</t>
        </is>
      </c>
      <c r="C15" s="16" t="inlineStr">
        <is>
          <t>34 operational activities from the Zephyr Efficiency analysis + 13 HOM capabilities (Lifecycle: Provisioning, Patch Execution, Scaling, Decommissioning, Backup &amp; Restores; Security: IAM/PAM, Encryption Standards, TDS/Imperva, Secrets Mgmt; Observability: Monitoring, Logging, Distributed Tracing, Alerting).</t>
        </is>
      </c>
    </row>
  </sheetData>
  <mergeCells count="2"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2026-09-25T21:21:33Z</dcterms:created>
  <dcterms:modified xmlns:dcterms="http://purl.org/dc/terms/" xmlns:xsi="http://www.w3.org/2001/XMLSchema-instance" xsi:type="dcterms:W3CDTF">2026-09-25T21:56:37+00:00Z</dcterms:modified>
</cp:coreProperties>
</file>